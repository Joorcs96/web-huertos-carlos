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rdi.garcia\Downloads\"/>
    </mc:Choice>
  </mc:AlternateContent>
  <xr:revisionPtr revIDLastSave="0" documentId="8_{F41FA9C7-0EEC-4B0A-B032-699DF3E39C53}" xr6:coauthVersionLast="47" xr6:coauthVersionMax="47" xr10:uidLastSave="{00000000-0000-0000-0000-000000000000}"/>
  <bookViews>
    <workbookView xWindow="22932" yWindow="2508" windowWidth="23256" windowHeight="13896" tabRatio="690" firstSheet="10" activeTab="13" xr2:uid="{F28591DE-42AD-43E9-B9F0-A0133CA80F33}"/>
  </bookViews>
  <sheets>
    <sheet name="Oliveres" sheetId="1" r:id="rId1"/>
    <sheet name="Armetler" sheetId="2" r:id="rId2"/>
    <sheet name="Montanyeta" sheetId="3" r:id="rId3"/>
    <sheet name="Matella" sheetId="4" r:id="rId4"/>
    <sheet name="Kakis" sheetId="5" r:id="rId5"/>
    <sheet name="Alq. Burriana" sheetId="6" r:id="rId6"/>
    <sheet name="Hípica Balcó" sheetId="7" r:id="rId7"/>
    <sheet name="Vora riu" sheetId="8" r:id="rId8"/>
    <sheet name="Ort. Burriana" sheetId="9" r:id="rId9"/>
    <sheet name="Invernadero" sheetId="10" r:id="rId10"/>
    <sheet name="Ermita San Antoni" sheetId="11" r:id="rId11"/>
    <sheet name="New Hall" sheetId="12" r:id="rId12"/>
    <sheet name="Manderí" sheetId="13" r:id="rId13"/>
    <sheet name="Crisu" sheetId="14" r:id="rId14"/>
    <sheet name="Juncos" sheetId="15" r:id="rId15"/>
    <sheet name="Molineta" sheetId="16" r:id="rId16"/>
    <sheet name="Bata" sheetId="17" r:id="rId17"/>
    <sheet name="Malafa" sheetId="18" r:id="rId18"/>
    <sheet name="Xabrera" sheetId="19" r:id="rId19"/>
    <sheet name="Campoi" sheetId="20" r:id="rId20"/>
    <sheet name="Pepa" sheetId="21" r:id="rId21"/>
    <sheet name="Carbó" sheetId="22" r:id="rId22"/>
    <sheet name="Collantes" sheetId="23" r:id="rId23"/>
    <sheet name="Palmera" sheetId="24" r:id="rId24"/>
    <sheet name="Agut" sheetId="25" r:id="rId25"/>
    <sheet name="Ratlla" sheetId="26" r:id="rId26"/>
    <sheet name="Vila Roja" sheetId="27" r:id="rId27"/>
    <sheet name="Fadrell" sheetId="28" r:id="rId28"/>
    <sheet name="21" sheetId="29" r:id="rId29"/>
    <sheet name="Secà" sheetId="30" r:id="rId3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U134" i="30" l="1"/>
  <c r="U135" i="30" s="1"/>
  <c r="U130" i="30"/>
  <c r="U119" i="30"/>
  <c r="U108" i="30"/>
  <c r="S57" i="27"/>
  <c r="S58" i="27" s="1"/>
  <c r="S53" i="27"/>
  <c r="U97" i="30"/>
  <c r="U86" i="30"/>
  <c r="U75" i="30"/>
  <c r="U66" i="30"/>
  <c r="U64" i="30" s="1"/>
  <c r="U53" i="30"/>
  <c r="U42" i="30"/>
  <c r="U31" i="30"/>
  <c r="U20" i="30"/>
  <c r="U9" i="30"/>
  <c r="U20" i="29"/>
  <c r="U24" i="29"/>
  <c r="U25" i="29" s="1"/>
  <c r="U9" i="29"/>
  <c r="U46" i="28"/>
  <c r="U42" i="28"/>
  <c r="U31" i="28"/>
  <c r="U20" i="28"/>
  <c r="U9" i="28"/>
  <c r="S42" i="27"/>
  <c r="S32" i="27"/>
  <c r="S21" i="27"/>
  <c r="S20" i="27" s="1"/>
  <c r="S9" i="27"/>
  <c r="U13" i="26"/>
  <c r="U14" i="26" s="1"/>
  <c r="U9" i="26"/>
  <c r="S13" i="25"/>
  <c r="S14" i="25" s="1"/>
  <c r="S9" i="25"/>
  <c r="S13" i="24"/>
  <c r="S14" i="24" s="1"/>
  <c r="S9" i="24"/>
  <c r="U79" i="23"/>
  <c r="U80" i="23" s="1"/>
  <c r="U75" i="23"/>
  <c r="U31" i="23"/>
  <c r="U64" i="23"/>
  <c r="U53" i="23"/>
  <c r="U42" i="23"/>
  <c r="U20" i="23"/>
  <c r="U9" i="23"/>
  <c r="S13" i="22"/>
  <c r="S14" i="22" s="1"/>
  <c r="S9" i="22"/>
  <c r="S13" i="21"/>
  <c r="S14" i="21" s="1"/>
  <c r="S9" i="21"/>
  <c r="S13" i="20"/>
  <c r="S14" i="20" s="1"/>
  <c r="S9" i="20"/>
  <c r="S13" i="19"/>
  <c r="S14" i="19" s="1"/>
  <c r="S9" i="19"/>
  <c r="S13" i="18"/>
  <c r="S14" i="18" s="1"/>
  <c r="S9" i="18"/>
  <c r="S35" i="17"/>
  <c r="S36" i="17" s="1"/>
  <c r="S31" i="17"/>
  <c r="S20" i="17"/>
  <c r="S9" i="17"/>
  <c r="Q9" i="16"/>
  <c r="Q10" i="16"/>
  <c r="Q13" i="16"/>
  <c r="S24" i="15"/>
  <c r="S20" i="15"/>
  <c r="S25" i="15"/>
  <c r="S9" i="15"/>
  <c r="U68" i="14"/>
  <c r="U64" i="14"/>
  <c r="U69" i="14"/>
  <c r="U53" i="14"/>
  <c r="U31" i="14"/>
  <c r="U42" i="14"/>
  <c r="U20" i="14"/>
  <c r="U9" i="14"/>
  <c r="S13" i="13"/>
  <c r="S14" i="13" s="1"/>
  <c r="S9" i="13"/>
  <c r="S35" i="12"/>
  <c r="S36" i="12" s="1"/>
  <c r="S31" i="12"/>
  <c r="S20" i="12"/>
  <c r="S9" i="12"/>
  <c r="S13" i="11"/>
  <c r="S14" i="11" s="1"/>
  <c r="S9" i="11"/>
  <c r="S13" i="10"/>
  <c r="S14" i="10" s="1"/>
  <c r="S9" i="10"/>
  <c r="S24" i="9"/>
  <c r="S25" i="9" s="1"/>
  <c r="S20" i="9"/>
  <c r="S9" i="9"/>
  <c r="U13" i="8"/>
  <c r="U14" i="8" s="1"/>
  <c r="U9" i="8"/>
  <c r="S11" i="7"/>
  <c r="S24" i="7"/>
  <c r="S25" i="7" s="1"/>
  <c r="S20" i="7"/>
  <c r="S9" i="7"/>
  <c r="S25" i="6"/>
  <c r="S24" i="6"/>
  <c r="S20" i="6"/>
  <c r="S9" i="6"/>
  <c r="Q24" i="5"/>
  <c r="Q20" i="5"/>
  <c r="Q25" i="5"/>
  <c r="Q9" i="5"/>
  <c r="S12" i="4"/>
  <c r="S13" i="4"/>
  <c r="S9" i="4"/>
  <c r="U57" i="3"/>
  <c r="U58" i="3" s="1"/>
  <c r="U53" i="3"/>
  <c r="U42" i="3"/>
  <c r="U31" i="3"/>
  <c r="U20" i="3"/>
  <c r="U9" i="3"/>
  <c r="S12" i="1"/>
  <c r="S13" i="1" s="1"/>
  <c r="S12" i="2"/>
  <c r="S13" i="2" s="1"/>
  <c r="S9" i="2"/>
  <c r="S9" i="1"/>
  <c r="U47" i="28" l="1"/>
  <c r="S31" i="27"/>
</calcChain>
</file>

<file path=xl/sharedStrings.xml><?xml version="1.0" encoding="utf-8"?>
<sst xmlns="http://schemas.openxmlformats.org/spreadsheetml/2006/main" count="7414" uniqueCount="1264">
  <si>
    <t>Fetxa</t>
  </si>
  <si>
    <t>Faena</t>
  </si>
  <si>
    <t>Persona</t>
  </si>
  <si>
    <t>Comentari</t>
  </si>
  <si>
    <t>INFORME</t>
  </si>
  <si>
    <t>ANALISIS</t>
  </si>
  <si>
    <t>Tipo</t>
  </si>
  <si>
    <t>INFO</t>
  </si>
  <si>
    <t>Maxina plantons</t>
  </si>
  <si>
    <t>Carlos</t>
  </si>
  <si>
    <t>T1</t>
  </si>
  <si>
    <t>Parcela</t>
  </si>
  <si>
    <t>Plantona</t>
  </si>
  <si>
    <t>Goma tallada, Falla algun plantó nous i vells, mal AR, caragols, desmamonar i destarugar neccesari.</t>
  </si>
  <si>
    <t>Tot</t>
  </si>
  <si>
    <t>C, JC</t>
  </si>
  <si>
    <t>C, D</t>
  </si>
  <si>
    <t>Desmamonar i rallar ampelts, llevar rafia</t>
  </si>
  <si>
    <t>Diego</t>
  </si>
  <si>
    <t>Oronul, Banca baix, Arrufatino</t>
  </si>
  <si>
    <t>Falta fruta, bona cara, nova brotació, caragols, plantons nous bé, plantons vells malament, acapolar arbres morts, falta color, algo d´aranya.</t>
  </si>
  <si>
    <t>Falta de color, més arbres colapsant, molt de cotonet, revisar reg, falta generalitzada de fruta, bona ampelta oronules, falta pintar soques de blanc, plantons nous fluixos.</t>
  </si>
  <si>
    <t>C</t>
  </si>
  <si>
    <t>Desmamonar plantons i arbres, caragol, falta fruta, molt bona brota, hort en bona cara, acapolar vells, fer brossa fraus i tires.</t>
  </si>
  <si>
    <t>Desmamonar plantons, bona brotació plantons i alguns arbres, mal i presència d´AR, caragols, brossa en les tires, acapolar troncs, algo de fruta.</t>
  </si>
  <si>
    <t>Regar transplantats</t>
  </si>
  <si>
    <t>3 B 2 M</t>
  </si>
  <si>
    <t>Hípica</t>
  </si>
  <si>
    <t>Valcó</t>
  </si>
  <si>
    <t>Alguns arbres grocs, AR, algo de brossa, caragol, alguna fruta, acapolar arbres/tocons, podar cap a baix.</t>
  </si>
  <si>
    <t>Turbo</t>
  </si>
  <si>
    <t>Juan</t>
  </si>
  <si>
    <t>T2</t>
  </si>
  <si>
    <t>Fer llavor per ampeltar</t>
  </si>
  <si>
    <t>Antonio</t>
  </si>
  <si>
    <t>D</t>
  </si>
  <si>
    <t>Arrufatino</t>
  </si>
  <si>
    <t>Presencia d´AR en arbres amb xupons grans</t>
  </si>
  <si>
    <t>Lida</t>
  </si>
  <si>
    <t>Gran</t>
  </si>
  <si>
    <t>Tractar AR</t>
  </si>
  <si>
    <t>Hi ha algo de fruta, bona brotació, mal d´AR, no presència d´AR, fulles grojes sobretot en plantons.</t>
  </si>
  <si>
    <t>Demamonar i cuidar ampelts i plantons, hi han taronges, bones brotacions, bona cara dels arbres, tal volta falta d´aigua.</t>
  </si>
  <si>
    <t>Alguns arbres amb moltes taronges, caragols, té bona cara, algo de mal de AR, prous ampelts han fallat.</t>
  </si>
  <si>
    <t>Desmamonar i sangrar ampelts</t>
  </si>
  <si>
    <t>No acabat</t>
  </si>
  <si>
    <t>Falta fruta, alguns plantons s´estàn secant, puntes grojes en tot el XLO</t>
  </si>
  <si>
    <t>JC</t>
  </si>
  <si>
    <t>Solta cryptolaemus</t>
  </si>
  <si>
    <t>Conselleria</t>
  </si>
  <si>
    <t>Brotació nova bona</t>
  </si>
  <si>
    <t>Brotació nova bona, plantons patint sed, falta fruta, puntes grojes.</t>
  </si>
  <si>
    <t>Desmamonar i sangrar</t>
  </si>
  <si>
    <t>Crisu 2</t>
  </si>
  <si>
    <t>Desmamonar, lligar, sangrar, despuntar</t>
  </si>
  <si>
    <t>Falten arbres per ampeltar, caragols, AR, incompatibilitat FA5 + Valencia (deficiencies), bona cara, bona brota, bona fruta, algo grojor clemenules vell, acapolat tocons i clemenules vells</t>
  </si>
  <si>
    <t>-</t>
  </si>
  <si>
    <t>Hort molt bó, desmamonar Midnight</t>
  </si>
  <si>
    <t>Frutes tortes caent, reducció AR, se quedará fruta torta però en general fruta bé</t>
  </si>
  <si>
    <t>Hort està molt bó, prou mals d´AR</t>
  </si>
  <si>
    <t>Hort bó, el T2 ha funcionat contra l´AR, cada volta es veu menys fruta tocada de Cotonet.</t>
  </si>
  <si>
    <t>No hi ha AR, hi ha que desmamonar, hi ha que fer la brossa de les tires.</t>
  </si>
  <si>
    <t>Herbicida brossa</t>
  </si>
  <si>
    <t>Cooperativa</t>
  </si>
  <si>
    <t>T4</t>
  </si>
  <si>
    <t>Deixar garrafes</t>
  </si>
  <si>
    <t>140L</t>
  </si>
  <si>
    <t>Llevar arbrets i araujes, alguns plantons se estàn secant, llevar rebrots i mamons del arbres vells, bona cara i brotació però falta fruta i algo de grogor, alguna carència nutricional, llevar tocons, segar brossa i fer herbicida a les tires, algo de caragol</t>
  </si>
  <si>
    <t>T2 (sense Sirkane), Crisu 2</t>
  </si>
  <si>
    <t>T1, Crisu 2</t>
  </si>
  <si>
    <t>T1, Crisu 1,2,3</t>
  </si>
  <si>
    <t>T2 (3,5L Sirkane) Crisu 1,3</t>
  </si>
  <si>
    <t>Molt bona cara i ampelts, sangrar, desmamonar, lligar, poca fruta, ampeltar algun fallo, algo de MB i AR, acapolar cirerer i llevar més arbres del veí, algo de caragol, revisar reg, levar rebrots soques, algo de grogor i deficiencies.</t>
  </si>
  <si>
    <t>Molt bona cara i bona brotació, algo de MB i AR, falta fruta, algun arbre falta fulla.</t>
  </si>
  <si>
    <t>Algo de fruta, Bona cara, nova brotació, plantxes fallides.</t>
  </si>
  <si>
    <t>No hi ha MB</t>
  </si>
  <si>
    <t>Codic</t>
  </si>
  <si>
    <t>Marc de Plantació</t>
  </si>
  <si>
    <t>Cultiu</t>
  </si>
  <si>
    <t>Varieteta</t>
  </si>
  <si>
    <t>Patró</t>
  </si>
  <si>
    <t>Madera Intermitja</t>
  </si>
  <si>
    <t>Superficie Total</t>
  </si>
  <si>
    <t>Superficie Productiva</t>
  </si>
  <si>
    <t>Superficie Improductiva</t>
  </si>
  <si>
    <t>Finca (Ha)</t>
  </si>
  <si>
    <t>Finca (Fa)</t>
  </si>
  <si>
    <t>HISTÒRIC COLLITES</t>
  </si>
  <si>
    <t>Quantitat (kg/hg)</t>
  </si>
  <si>
    <t>Hostalassos</t>
  </si>
  <si>
    <t>12-122-0-0-1-541-1</t>
  </si>
  <si>
    <t>Olivar i Garroferes</t>
  </si>
  <si>
    <t>Varietat</t>
  </si>
  <si>
    <t>No</t>
  </si>
  <si>
    <t>Armetlers</t>
  </si>
  <si>
    <t>Banca gran</t>
  </si>
  <si>
    <t>Banca gran 1</t>
  </si>
  <si>
    <t>Banca gran 2</t>
  </si>
  <si>
    <t>Banca gran 3</t>
  </si>
  <si>
    <t>12-135-0-0-30-368-1</t>
  </si>
  <si>
    <t>12-124-0-0-25-67-1</t>
  </si>
  <si>
    <t>Cítrics</t>
  </si>
  <si>
    <t>Clemenalba</t>
  </si>
  <si>
    <t>Citrumelo</t>
  </si>
  <si>
    <t>12-135-0-0-30-368-2</t>
  </si>
  <si>
    <t>12-135-0-0-30-368-3</t>
  </si>
  <si>
    <t>Plantona 1</t>
  </si>
  <si>
    <t>Plantona 2</t>
  </si>
  <si>
    <t>12-135-0-0-30-264-1/2</t>
  </si>
  <si>
    <t>12-135-0-0-30-265-1/2</t>
  </si>
  <si>
    <t>Matella</t>
  </si>
  <si>
    <t>12-32-0-0-2-305-1</t>
  </si>
  <si>
    <t>Clemenules</t>
  </si>
  <si>
    <t>Carrís</t>
  </si>
  <si>
    <t>Kakis</t>
  </si>
  <si>
    <t>Any de plantació</t>
  </si>
  <si>
    <t>12-32-0-0-2-78-1</t>
  </si>
  <si>
    <t>Kakis Extra</t>
  </si>
  <si>
    <t>12-32-0-0-2-148-1</t>
  </si>
  <si>
    <t>Alqueria Burriana</t>
  </si>
  <si>
    <t>Alqueria Burriana 2</t>
  </si>
  <si>
    <t>12-32-0-0-1-161-1/2</t>
  </si>
  <si>
    <t>Powell/Valencia</t>
  </si>
  <si>
    <t>Carrís/FA5</t>
  </si>
  <si>
    <t>12-32-0-0-1-160-1</t>
  </si>
  <si>
    <t>12-32-0-0-1-278-1/2/7</t>
  </si>
  <si>
    <t xml:space="preserve">Carrís </t>
  </si>
  <si>
    <t>12-32-0-0-2-8-1/2</t>
  </si>
  <si>
    <t>Vora riu</t>
  </si>
  <si>
    <t>12-32-0-0-4-30-1/2</t>
  </si>
  <si>
    <t>Sando/Pomelo</t>
  </si>
  <si>
    <t xml:space="preserve">Ortenique Burriana </t>
  </si>
  <si>
    <t>Ortenique Burriana 2</t>
  </si>
  <si>
    <t>12-32-0-0-4-93-1/2</t>
  </si>
  <si>
    <t>Ortenique</t>
  </si>
  <si>
    <t>12-32-0-0-4-92-1/2</t>
  </si>
  <si>
    <t>12-135-0-0-13-266-1/2</t>
  </si>
  <si>
    <t>Pitahaya/Aguacate/Lichi</t>
  </si>
  <si>
    <t>Tropicals</t>
  </si>
  <si>
    <t>Ermita Sant Antoni</t>
  </si>
  <si>
    <t>12-9-0-0-15-2-1/2</t>
  </si>
  <si>
    <t>C35/FA5/Carris</t>
  </si>
  <si>
    <t>Chislett</t>
  </si>
  <si>
    <t>12-9-0-0-15-92-1/2</t>
  </si>
  <si>
    <t>XLO</t>
  </si>
  <si>
    <t>Volk/Carrís/Citrumelo/M7</t>
  </si>
  <si>
    <t>12-9-0-0-15-90-1/2</t>
  </si>
  <si>
    <t>Chislett/XLO</t>
  </si>
  <si>
    <t>Carris</t>
  </si>
  <si>
    <t>Valencia</t>
  </si>
  <si>
    <t>Lane late</t>
  </si>
  <si>
    <t>12-9-0-0-15-91-1/2</t>
  </si>
  <si>
    <t>Manderí de Sant Antoni</t>
  </si>
  <si>
    <t>12-9-0-0-17-176-1/2</t>
  </si>
  <si>
    <t>Manderí/Valencia</t>
  </si>
  <si>
    <t>Carrís /FA5</t>
  </si>
  <si>
    <t>Crisu 2 dalt</t>
  </si>
  <si>
    <t>12-9-0-0-12-35-1</t>
  </si>
  <si>
    <t>FA5/Citrumelo/Random</t>
  </si>
  <si>
    <t>Crisu 2 baix 1</t>
  </si>
  <si>
    <t>12-9-0-0-12-81-1/2</t>
  </si>
  <si>
    <t>Crisu 2 baix 2</t>
  </si>
  <si>
    <t>12-9-0-0-12-82-1</t>
  </si>
  <si>
    <t>Crisu 1</t>
  </si>
  <si>
    <t>12-9-0-0-12-41-1/2</t>
  </si>
  <si>
    <t>Mioro/Valencia/Navelina/Lane late</t>
  </si>
  <si>
    <t>Macro/FA5/C35/Carrís</t>
  </si>
  <si>
    <t>Crisu 1-Navelines</t>
  </si>
  <si>
    <t>12-9-0-0-12-41-1</t>
  </si>
  <si>
    <t>Crisu 3</t>
  </si>
  <si>
    <t>12-9-0-0-12-42-1/2</t>
  </si>
  <si>
    <t>Citrumelo/Macro/FA5/C35/Carrís</t>
  </si>
  <si>
    <t>Clemenules/Valencia</t>
  </si>
  <si>
    <t>Citrumelo/FA5/Carrís</t>
  </si>
  <si>
    <t>Juncos 1</t>
  </si>
  <si>
    <t>12-9-0-0-12-118-1</t>
  </si>
  <si>
    <t>Safor/Garbí</t>
  </si>
  <si>
    <t>Juncos 2</t>
  </si>
  <si>
    <t>12-9-0-0-12-118-2</t>
  </si>
  <si>
    <t>Molineta</t>
  </si>
  <si>
    <t>Pomelo</t>
  </si>
  <si>
    <t>Alcria</t>
  </si>
  <si>
    <t>12-9-0-0-17-159-1/2</t>
  </si>
  <si>
    <t>Nadorcott</t>
  </si>
  <si>
    <t>Delta</t>
  </si>
  <si>
    <t>Midnight</t>
  </si>
  <si>
    <t>12-9-0-0-17-162-1</t>
  </si>
  <si>
    <t>Valencia delta</t>
  </si>
  <si>
    <t>12-9-0-0-17-165-1</t>
  </si>
  <si>
    <t>Valencia midnight</t>
  </si>
  <si>
    <t>Malafa/Aguacates</t>
  </si>
  <si>
    <t>12-9-0-0-17-81-1</t>
  </si>
  <si>
    <t>Orogrande</t>
  </si>
  <si>
    <t>Carretera Xabrera</t>
  </si>
  <si>
    <t>12-9-0-0-11-373-1</t>
  </si>
  <si>
    <t>Clemenules/Extres</t>
  </si>
  <si>
    <t>Campoi</t>
  </si>
  <si>
    <t>12-9-0-0-12-216-1</t>
  </si>
  <si>
    <t>Hernandino/Valencia</t>
  </si>
  <si>
    <t>Pepa</t>
  </si>
  <si>
    <t>12-9-0-0-12-381-1/2</t>
  </si>
  <si>
    <t>Carbó</t>
  </si>
  <si>
    <t>12-9-0-0-12-427-1</t>
  </si>
  <si>
    <t>C35</t>
  </si>
  <si>
    <t>Llimeral</t>
  </si>
  <si>
    <t>12-9-0-0-13-420-1</t>
  </si>
  <si>
    <t>Res</t>
  </si>
  <si>
    <t>Collantes 1</t>
  </si>
  <si>
    <t xml:space="preserve">Clemenules </t>
  </si>
  <si>
    <t>12-9-0-0-13-429-1</t>
  </si>
  <si>
    <t>Carrís/C35/FA5</t>
  </si>
  <si>
    <t>Collantes 2 Gran</t>
  </si>
  <si>
    <t>12-9-0-0-13-430-1</t>
  </si>
  <si>
    <t>Neufina/Valencia</t>
  </si>
  <si>
    <t>C35/FA5</t>
  </si>
  <si>
    <t>Collantes 2 Racó</t>
  </si>
  <si>
    <t>12-9-0-0-13-1043-1</t>
  </si>
  <si>
    <t>Vallat</t>
  </si>
  <si>
    <t>12-9-0-0-13-426-1</t>
  </si>
  <si>
    <t>Carabasses</t>
  </si>
  <si>
    <t>Dolça de forn</t>
  </si>
  <si>
    <t>Carlos-Diego</t>
  </si>
  <si>
    <t>12-9-0-0-13-427-1</t>
  </si>
  <si>
    <t>12-9-0-0-13-428-1</t>
  </si>
  <si>
    <t>Parcela Diego</t>
  </si>
  <si>
    <t>Palmera</t>
  </si>
  <si>
    <t>12-9-0-0-11-27-1</t>
  </si>
  <si>
    <t>Hernandina/neufina</t>
  </si>
  <si>
    <t>Agut</t>
  </si>
  <si>
    <t xml:space="preserve">Carrís/C35 </t>
  </si>
  <si>
    <t>12-9-0-0-9-111-1</t>
  </si>
  <si>
    <t>Ratlla</t>
  </si>
  <si>
    <t>12-9-0-0-9-121-1/2</t>
  </si>
  <si>
    <t>Carrís/Citrumelo</t>
  </si>
  <si>
    <t>12-9-0-0-8-242-1/2</t>
  </si>
  <si>
    <t>Vila roja 1</t>
  </si>
  <si>
    <t>Vila roja 2</t>
  </si>
  <si>
    <t>Mioro</t>
  </si>
  <si>
    <t>12-9-0-0-8-246-1/2/3</t>
  </si>
  <si>
    <t>Vila roja 3</t>
  </si>
  <si>
    <t>12-9-0-0-8-247-1/2/3</t>
  </si>
  <si>
    <t>Vila roja 4</t>
  </si>
  <si>
    <t>12-9-0-0-8-248-1</t>
  </si>
  <si>
    <t xml:space="preserve">Clementino </t>
  </si>
  <si>
    <t>12-900-0-0-70-37-1</t>
  </si>
  <si>
    <t xml:space="preserve">Olivera </t>
  </si>
  <si>
    <t>12-900-0-0-70-41-1</t>
  </si>
  <si>
    <t>Carrís/C35</t>
  </si>
  <si>
    <t>12-900-0-0-70-42-1</t>
  </si>
  <si>
    <t>Fadrell Baix</t>
  </si>
  <si>
    <t>Fadrell Alt</t>
  </si>
  <si>
    <t>12-900-0-0-70-43-1</t>
  </si>
  <si>
    <t>21 carretera</t>
  </si>
  <si>
    <t>12-900-0-0-156-135-2</t>
  </si>
  <si>
    <t>Arrufatino/Clemenules</t>
  </si>
  <si>
    <t>Valencia/Lane late</t>
  </si>
  <si>
    <t>21 gran</t>
  </si>
  <si>
    <t>12-900-0-0-156-133-1</t>
  </si>
  <si>
    <t xml:space="preserve">Patos </t>
  </si>
  <si>
    <t>12-9-0-0-4-70-1</t>
  </si>
  <si>
    <t>Granja</t>
  </si>
  <si>
    <t>Orri</t>
  </si>
  <si>
    <t>12-9-0-0-2-320-1/2</t>
  </si>
  <si>
    <t>Macro/FA5/Citrumelo/Carrís</t>
  </si>
  <si>
    <t>Costat Granja</t>
  </si>
  <si>
    <t>12-9-0-0-2-337-1/2</t>
  </si>
  <si>
    <t>Brossa 1</t>
  </si>
  <si>
    <t>12-9-0-0-2-342-1</t>
  </si>
  <si>
    <t>Brossa 2</t>
  </si>
  <si>
    <t>12-9-0-0-2-343-1/2</t>
  </si>
  <si>
    <t>12-9-0-0-2-338-1/2/3/4</t>
  </si>
  <si>
    <t>12-9-0-0-2-307-1</t>
  </si>
  <si>
    <t>Banca fondo</t>
  </si>
  <si>
    <t>Oronul</t>
  </si>
  <si>
    <t>12-9-0-0-2-316-1</t>
  </si>
  <si>
    <t>Oronules/Clemenules/Valencia</t>
  </si>
  <si>
    <t>Citrumelo/Carrís/FA5</t>
  </si>
  <si>
    <t>Arrufatino/Orri</t>
  </si>
  <si>
    <t>12-9-0-0-2-317-1</t>
  </si>
  <si>
    <t>Polinitzar</t>
  </si>
  <si>
    <t>Juan Vidal</t>
  </si>
  <si>
    <t>Pitahayas</t>
  </si>
  <si>
    <t>Sol</t>
  </si>
  <si>
    <t>Zona</t>
  </si>
  <si>
    <t>Parámetros</t>
  </si>
  <si>
    <t>Humedad (%)</t>
  </si>
  <si>
    <t>pH</t>
  </si>
  <si>
    <t>CE (dS/m)</t>
  </si>
  <si>
    <t>CO (%)</t>
  </si>
  <si>
    <t>MO (%)</t>
  </si>
  <si>
    <t>CC (%)</t>
  </si>
  <si>
    <t>CA (%)</t>
  </si>
  <si>
    <t>NT (%)</t>
  </si>
  <si>
    <t>NO3 (mg/kg)</t>
  </si>
  <si>
    <t>P (mg/kg)</t>
  </si>
  <si>
    <t>K (mg/kg)</t>
  </si>
  <si>
    <t>Ca (mg/kg)</t>
  </si>
  <si>
    <t>Mg (mg/kg)</t>
  </si>
  <si>
    <t>Na (mg/kg)</t>
  </si>
  <si>
    <t>B (mg/kg)</t>
  </si>
  <si>
    <t>Fe (mg/kg)</t>
  </si>
  <si>
    <t>Cu (mg/kg)</t>
  </si>
  <si>
    <t>Mn (mg/kg)</t>
  </si>
  <si>
    <t>Zn(mg/kg)</t>
  </si>
  <si>
    <t>Mo (mg/kg)</t>
  </si>
  <si>
    <t>C/N</t>
  </si>
  <si>
    <t>Ca/Mg</t>
  </si>
  <si>
    <t>Mg/K</t>
  </si>
  <si>
    <t>Ca/K</t>
  </si>
  <si>
    <t>Arcilla (%)</t>
  </si>
  <si>
    <t>Limo (%)</t>
  </si>
  <si>
    <t>Arena (%)</t>
  </si>
  <si>
    <t>Bulbo Húmedo</t>
  </si>
  <si>
    <t>Calle</t>
  </si>
  <si>
    <t>Datos</t>
  </si>
  <si>
    <t>Mix</t>
  </si>
  <si>
    <t>Olivera</t>
  </si>
  <si>
    <t>Carretera</t>
  </si>
  <si>
    <t>Interpretació</t>
  </si>
  <si>
    <t>Mig-Alt</t>
  </si>
  <si>
    <t>Baix</t>
  </si>
  <si>
    <t>Mig-Baix</t>
  </si>
  <si>
    <t>Mig</t>
  </si>
  <si>
    <t>Alt</t>
  </si>
  <si>
    <t>Òptima</t>
  </si>
  <si>
    <t>Extrema</t>
  </si>
  <si>
    <t>Montanyeta gran</t>
  </si>
  <si>
    <t>Baix-Mig</t>
  </si>
  <si>
    <t>Molt Baix</t>
  </si>
  <si>
    <t>Baixa</t>
  </si>
  <si>
    <t>Alta</t>
  </si>
  <si>
    <t>Molt baix</t>
  </si>
  <si>
    <t>Òptima-Alta</t>
  </si>
  <si>
    <t>Òptima alta</t>
  </si>
  <si>
    <t>136 American beauty, 4 Purple Haze, 57 Halley Comet, Total 197 todas polinizadas con Hibridum. Mismo dia año pasado 36, mismo día hace 2 años +300</t>
  </si>
  <si>
    <t>116 American beauty, 3 Purple Haze, 38 Halley Comet, 10 Museros, polinizadas con Hibridum, 48 Costa rica, 22 Red, 35 Pin, 86 Hibridum, polinizadas con mezcla de JC1 y Museros. Total 371, mismo día año pasado 169. Los 2 últimos años no polinicé ninguna Hibridum por dos motivos. Primero porque no saben a nada, segundo porque tienen una tendencia muy acusada al rajado. 
El motivo de mantener la variedad es porque es un polinizadora excelente (como la JC1) que además florece de una forma bastante constante durante toda la campaña, por lo que tienes polen de calidad a lo largo de toda la temporada.</t>
  </si>
  <si>
    <t xml:space="preserve">Turbo </t>
  </si>
  <si>
    <t>T3</t>
  </si>
  <si>
    <t>Plantons bona cara, 4 transplantats bons 1 Roïn, Molta AR, arbres amb molta fruta i arbres vuits més, fruta deformada de cotonet.</t>
  </si>
  <si>
    <t>Reg a manta</t>
  </si>
  <si>
    <t>CRB</t>
  </si>
  <si>
    <t>Molt bona brota en tota la plantació però amb mals de trip</t>
  </si>
  <si>
    <t>11 Halley Comet, 40 American Beauty, 2 G2, 1 Purple Haze, 2 Sugar Dragon, 1 ?, 62 Costa Rica / Marmel, 71 Pink, 48 Red, 29 Marmel, Polinizadas con Museros.
52 Museros, 4 Hundatus, 1 Golden, Polinizadas con Hibridum. Total 247.
Año pasado 322.</t>
  </si>
  <si>
    <t>Herbicida tires</t>
  </si>
  <si>
    <t>Jorge i Flor</t>
  </si>
  <si>
    <t>T5</t>
  </si>
  <si>
    <t>Desbroçar</t>
  </si>
  <si>
    <t>T5/Ort</t>
  </si>
  <si>
    <t>T5/Chislett</t>
  </si>
  <si>
    <t>1 Hundatus, 15 Maria Rosa, 8 Golden, 18 Marmel, 16 Pink, 3 Red, 8 Blanca Semilla, 8 Costa Rica, 6 Purple Haze, 14 G2, 26 American Beauty, 13 Halley Comet, Polinizadas con Hibridum y JC1. Total 136. Año pasado 122. el motivo de polinizar Hibridum esta campaña es porque tendremos menos fruta de American Beauty y Halley Comet. Las plantas se estan muriendo, se pudren. He replantado algunas faltas, pero como tenemos algunas plantas de dos variedades con polen autocompatible que espero den fruta este año, esta temporada no seguire replantando faltas. Si realmente las variedades nuevas son autocompatibles y la fruta es buena de comer, promocionaremos esas variedades en decrimento de laa otras.</t>
  </si>
  <si>
    <t>JC, C</t>
  </si>
  <si>
    <t>Fa falta desmamonar, bona brotació, algo de fruta, primers vols de MB, algo de AR, danys de trip i minador en la nova brotació.</t>
  </si>
  <si>
    <t>Crisu 1, 3</t>
  </si>
  <si>
    <t>Presència  de frutes deformades per cotonet, algo de fruta, banca navelino passa sed, deficiències nutricionals més acusades en les taronges que en les clementines, ademés de varios nutrients diferents Mg?Fe?N? Bona brotació  nova, el tractament contra la AR no ha funcionat molt, presència  de AR viva en colònies en prou fulles.</t>
  </si>
  <si>
    <t>Desmamonar i cuidar ampelts, la gran majoria de AR a mort, però he vist una fulla amb adults vius, bona brotació  nova danyada per trip, fulles més velles amb carències  de Mg?N? Revisar reg en tot el Crisu</t>
  </si>
  <si>
    <t>Algo de fruta, bona nova brotació, alguns ampelts han fallat, té bona cara però presenta algunes deficiències Mg? Revisar reg</t>
  </si>
  <si>
    <t>Desmamonat, sangrat, rafia llevada</t>
  </si>
  <si>
    <t xml:space="preserve">C  </t>
  </si>
  <si>
    <t>Patos</t>
  </si>
  <si>
    <t>Falta generalitzada de fruta i fulles, presència  per a tractar de AR, segar brossa i fer la brossa, provar supèrbia ací per al reg per a vore si indueix les brotacions que veiem en altres horts.</t>
  </si>
  <si>
    <t>Crisu</t>
  </si>
  <si>
    <t>Banca gran falta de fruta i brotacions, grosor generalitzada en tot el hort, falta de fulles, problemes de N? Banca de baix més fruta i més brotacions, millor cara, però no totalment bé.</t>
  </si>
  <si>
    <t>Clementí</t>
  </si>
  <si>
    <t>Clementí, bona bortació i algo de fruta, presència  de AR, hort en millor color.</t>
  </si>
  <si>
    <t>Ràfia llevada i desmamonat</t>
  </si>
  <si>
    <t>Plantona desmamonada</t>
  </si>
  <si>
    <t>La plantona i la bancada gran tenen una bona brotació especialment la plantona, presència  de AR en les dos bancades, en la bancada gran també hi ha algo poc de MB (P. Minei, A. Flocossus), se veu algo de fruta, bona cara però passa sed, falta reparar aigua per evitar clots. Llevar tarugos en la plantona, també presència  de caragol i algo de PRC, un arbre mort per sed i un altre a punt. He punxat en els dos llocs.</t>
  </si>
  <si>
    <t>Grogor i falta generalitzada de fulla, algo de fruta, seca de rames, inici de MB, presència  de AR. No se ha regat.</t>
  </si>
  <si>
    <t>Molt bona brotació, el hort se està refent, desmamor, se va regat hui, presència de AR,  grojor en fulles més velles especialment  en pomelo, Mg/Fe?</t>
  </si>
  <si>
    <t>Grojor generalitzada del hort, nova brotació  amb bon aspecte, seca de rames i falta de fulla, s'està  regant, el herbicida està matant tota la brossa. Poca fruta, alguna deformada de cotonet.</t>
  </si>
  <si>
    <t>Clementins</t>
  </si>
  <si>
    <t xml:space="preserve">JC  </t>
  </si>
  <si>
    <t xml:space="preserve">Falla reg.  Ya esta reclamat. Dema mati vindre voreu. Cullita cero.  Escomensa araña en mamons. Empelta se ha de repasar. </t>
  </si>
  <si>
    <t>Se esta recuperant tot, no hia tanta diferencia. Brota molt bona, podria pensase en aplicar ya el ferro.  Ficat 5 de superbia en banca brosa.  Els plantons urgis repasalos en alicata, rebaissr y sangrar y ficar algun empelt. Banca darrere granja, correccio reg funciona.</t>
  </si>
  <si>
    <t>No está regado . No pasa agua por la acequia . Más o menos de fruta. Árboles llenos y otros vacíos . Hay araña pero no es exagerado .</t>
  </si>
  <si>
    <t>Sobreabonat injectat</t>
  </si>
  <si>
    <t>Juan Carlos</t>
  </si>
  <si>
    <t>Las plantas han mejorado pero siguen teniendo bastante mala pinta . He visto un árbol que se ha puesto amarillo y parece que va a morir . Hay mucho caragol y molta brosa . Falta generalizada de color . Se podría volver a pasar para desmamonar</t>
  </si>
  <si>
    <t>D, C, JC</t>
  </si>
  <si>
    <t>Pitahayas falta algo de color, no se aprecia trip en fruta, mucha mosca blanca en leechy, aguacates con mucha fruta vigilar calibre</t>
  </si>
  <si>
    <t>176 Maria Rosa, 118 American Beauty, 130 G2, 9 Sugar Dragon, 2 Purple Haze, 51 Halley Comet, Polinizadas con mezcla Hibridum, JC1 y Marmel. Total 496 flores. Año pasado 49.</t>
  </si>
  <si>
    <t>Sobreabonat</t>
  </si>
  <si>
    <t>1 kg KNO3/reg apartir de hui</t>
  </si>
  <si>
    <t>Bona fruta en tot el hort, algunes taques de deficiències  nutricionals, dos dies sense regar, arbres i carabasses patint sed, eficàcia  del tractament  reduida. Seleccionar carabasses que son resistents a la falta de aigua, marcarles, despuntar les carabasses  que eixen de la valla</t>
  </si>
  <si>
    <t>Més AR en Crisu 1 i 3 que Crisu 2, plantejar tractar de nou . Bona brotació nova.</t>
  </si>
  <si>
    <t>JC, D</t>
  </si>
  <si>
    <t>Poques teronges, no mes en abres en color intens. San Marc recupera i iguala a Museros.  Brosa controla.  Abres pa acapolar cuant fiquem picaora. Molta brotacio fora de fecha escomensar en Fe.  El superbia en brosa no se ha acabat de tragar. Deixem un dia mes. No hia molta mosca ni cotonet viu.  Algun orri en molta AR</t>
  </si>
  <si>
    <t>Desmamonar i rallar ampelts, reampeltar</t>
  </si>
  <si>
    <t>Banca Granja</t>
  </si>
  <si>
    <t>Revisat reg, hui si ha regat. Oronul cero terongens, empelta esta brotant, y te mamons.   Hia que repasala, rebaixar, sangrar y pintar talls y blanquejar troncs</t>
  </si>
  <si>
    <t>Pistola</t>
  </si>
  <si>
    <t>T6</t>
  </si>
  <si>
    <t>T7, Patos</t>
  </si>
  <si>
    <t>T7, Valcó</t>
  </si>
  <si>
    <t>Desmamonat i pintat</t>
  </si>
  <si>
    <t>No acabat, Cal hidràulica</t>
  </si>
  <si>
    <t>Defoliació en molts arbres, seca de rames, AR viva en tots el arbres, tractament no ha funcionat, és veu fruta, alguna fulla groja, bona brotació  bona, la ampelta va bé,  algun fallo, ampelts grojets</t>
  </si>
  <si>
    <t>Aumenta masa foliar, color prou bo. Va millorant.   No veu araña.  No hiant brotacions tendres.  Brosa frau pa segar.  Els abres estan pa desmamonar y llevar tarugos</t>
  </si>
  <si>
    <t>Desmamonar</t>
  </si>
  <si>
    <t>Algo de fruta, nova bona brotació, algo de AR, caragol, acapolar arbre que ha col·lapsat, llevar soques, eliminar plantons vells que no han funcionat  i ficar nous el any que ve. Certa grojor en el hort, deficiències? Estrés? Segar frau</t>
  </si>
  <si>
    <t>Sense fruta, bona brotació,  algo de grojor en alguns arbres, un arbre a col·lapsat, caragol, se pot fer la brossa en les tires i el frau</t>
  </si>
  <si>
    <t>Moltisima brosa frau, y tires pa fer brosa. Hort recuperat, poques teronges.  Valencies van fense grans</t>
  </si>
  <si>
    <t>123 American Beauty, 76 G2, 16 Purple Haze, 3 ?, 121 Maria Rosa, Polinizadas con mezcla JC1, JC2 e Hibridum. 82 Halley Comet, 19 Blanca Semilla, Polinizadas con resto de la mezcla anterior mas Blanca Semilla.Total 433. Año pasado 13. Litchys molt bons, pero plens de minei. Cullita molt bona zona dels menus. Resto poca cosa. Hass molt plens, vorem calibre. Pitahayes molt florides y plenes de fruta cualla.  De moment sense destrios, ni caragol ni trips.  Hia que llevar flors seques. Hia que ficar controls per rosquilla. Se veu tot molt be, tambe litchis y aguacates.  Hia que llevar flors seques, hia molta fruta cualla, hia que reforsar abonat. Escomensa brosa en tires pitaya repasar directament y en cuidao.  Polvorizat hia segons formula indica. Han sobrat 100 litros</t>
  </si>
  <si>
    <t>J, JC</t>
  </si>
  <si>
    <t>Banca Brossa, Mas</t>
  </si>
  <si>
    <t>Superbia banca brossa, 1kg/hg</t>
  </si>
  <si>
    <t xml:space="preserve"> 1kg/hg KNO3, Museros, brossa, darrere granja</t>
  </si>
  <si>
    <t>Nadorcott hort molt bo, veu algun cotonet. Alguna teronja torta. Mosca limpio.  Color trencat, deviem abonar mes y tirar fe.  Cullita no a tope. Valencia cullita molt curta, no masa mal de cotonet. Una talla li vendria be.  Mintnight poca fruta y 50 % frutes deformaes.  Esta tot pa fer brosa</t>
  </si>
  <si>
    <t>T2 (3L Sirkane) Ort, Chislett</t>
  </si>
  <si>
    <t>Idem dia anterior</t>
  </si>
  <si>
    <t>Hort fullat y bon color salvo puntes grogues. Ninguna teronja. No te araña.  Tercera fila de plantons REVISAR REG, o no rega la tuberia o els emisors embosats. Si fa falta punchar goteos</t>
  </si>
  <si>
    <t>Ort</t>
  </si>
  <si>
    <t>Xlo va recuperant, no teronges. No araña. Xislet poques teronges, Lanes algunes</t>
  </si>
  <si>
    <t>15 Halley Comet, 1 ?, 3 Sugar Dragon, 11 Purple Haze, 33 G2, 59 American Beauty, 5 Blanca Semilla. Total 139. Año pasado 11.</t>
  </si>
  <si>
    <t>C, D, JC</t>
  </si>
  <si>
    <t xml:space="preserve">Desmamonat </t>
  </si>
  <si>
    <t>Acabat</t>
  </si>
  <si>
    <t>Arbres per acapolar, revisar reg o canviar gomes hi han fuges, AR viva en molts arbres, empelts  van tirant, sangrar i rebaixar. Arbres en molt mala cara, cleopatra, no pero poca fruta. La cal hidráulica no funciona.</t>
  </si>
  <si>
    <t>C,D</t>
  </si>
  <si>
    <t>Arbres en bona cara, carga irregular però generalmente buena, hay AR, se te que tratar, arbres en molta araña, els plantons tiren be.Hi han arbres q pareix que patisquen sed. Alguna brotacio de plantons toca de trip. Plantons color grog. Reinjertar planches falles última tira. Destarugar y rallar. Y han arbres q se podrien destarugar</t>
  </si>
  <si>
    <t>Desmamonat</t>
  </si>
  <si>
    <t>Focos grana AR en general menos AR, la empelta està be, alguna fruta, cuidar mes empelta, sangrar, reempeltar, la cara general del árbol ha empeorado, vindre en motoserra xicoteta i llevar algun tarugos, escomença mosca blanca. Hi ha algo de caragol, se veuen carències nutricionals</t>
  </si>
  <si>
    <t>Buen estado de los arboles, Bona fruta y Bona càrrega, MB contra els veïns y dins dels arbres menos, algo de brotacio, les enredaderas de pujen ja del veí abandonat. Eliminar primera tira vehí abandonat</t>
  </si>
  <si>
    <t>Horts en bon color y bona pinta, brosa controla. Se veuen prou terongetes y en bon calibre.  En clemenules AR pa tratar</t>
  </si>
  <si>
    <t xml:space="preserve">Desmamonar  </t>
  </si>
  <si>
    <t>Vell</t>
  </si>
  <si>
    <t xml:space="preserve"> Molt be. Estan brotan rls desangrats.  Hia que repasar y ficar uns 15 empelts.  El grand se veu en molts abres sense teronges.  Hia AR tratar en una semana</t>
  </si>
  <si>
    <t>Se han recuperat de la falta de reg.  Es de color mes palit pareis que aguanten millor el sol.  Escomenden eixir les flors de carabases.  En hiant amunto.  Deviem de sobreabonar. Es bajocons se estan ya enramant.  Hia alguns melons de alger. Escomensen a vores els moniateres.zona de cañota se menja les carabaseres</t>
  </si>
  <si>
    <t>El hort està bé, poca brossa, hi ha menys AR que la que havia avanç de tractar, poca hernandina, algun abre de neufina més ple.</t>
  </si>
  <si>
    <t>14 American Beauty, 4 G2, 7 Purple Haze, 7 Sugar Dragon , 1 ?, 2 Halley Comet, 2 Maria Rosa, Polinizadas con mezcla Hibridum y JC1. Total 37. Año pasado 8.</t>
  </si>
  <si>
    <t>3 ?, 6 Sugar Dragon, 4 Purple Haze, 6 G2, 1 American Beaty, 37 JC1, Polinizadas con mezcla Hibridum, JC2 y Honduras. Total 57. Año pasado 1. Acumuladas 2431.</t>
  </si>
  <si>
    <t>Desmamonar, rebaixar, reg plantons, arbrets, arbres grans acapolats</t>
  </si>
  <si>
    <t>AR en els dos horts, defoliacio en les dos horts, moltes fulles grojes, falta de nutrients,  poca fruta, han patit sed, plantones que se regen tambe pareix que estigen patint sed o morinse. Situació molt roin en general.</t>
  </si>
  <si>
    <t>T2 (Oli 15 L)</t>
  </si>
  <si>
    <t>T2 (Oli 15 L), Hípica</t>
  </si>
  <si>
    <t>En la banca del fondo falta generalitzada  de color, prou grojor, molts sintomes de falta de nutrients, molts arbres van a morir, 2 plantonets han mort, molt poca MB, no hi ha presència  de plages real.  En la banca gran molt bona brotació, el color ha millorat, no hi ha fruta, la bancada ha millorat molt. El sobreabonat ha funcionat. En la banca de la brossa millor color de tot el hort, milloria increíble  desde la aplicació  de superbia.Els arbres que estaven grocs simplement  han brotat segueixen grocs. Pero el arbres que estaben mig mig i els que estaven bé se han ficat molt bé, bona brotació  i aumentat el color. Segueixen havent problemes de Mg. Hi ha cotonet viu. costat granja, Bona brotació I bon color, falta de Mg en fulles, sense fruta, alguna arbre fluixet. Darrere granja, Bona brotació i milloria en tot el hort, arbres  que estaben per a acapolar se estan refent, falta de Mg en els fulles. No hi ha fruta.</t>
  </si>
  <si>
    <t>JC, C, D</t>
  </si>
  <si>
    <t>28 JC1. Polinizadas con Honduras. Año pasado 0.Acumuladas 2459</t>
  </si>
  <si>
    <t>Herbicida</t>
  </si>
  <si>
    <t>Jorge, Flor</t>
  </si>
  <si>
    <t>T8</t>
  </si>
  <si>
    <t>Els arbres estan en bona cara, hi ha cotonete, fruta  deformada va a abres, Hiha plantes brotan, se ve alguna puesta de mosca, buen calibre se la fruta, algún árbol con falta de color, Hi ha q llevar rebrotissos, Hi ha prou fruta</t>
  </si>
  <si>
    <t>Bona cara general del hort, hi ha fruta, brotacions noves, revisar reg, algunes fulles algo de grojor, reduir arbres del veí</t>
  </si>
  <si>
    <t>Desmamonat, sangrat, rebaixat</t>
  </si>
  <si>
    <t>Maxina ampelts</t>
  </si>
  <si>
    <t>T9</t>
  </si>
  <si>
    <t>T2, Clementí</t>
  </si>
  <si>
    <t>Els arbres tenen molt mala cara, hi ha araña roja en el nadorcott, se veuen super grogs els arbres, hi ha arbres en locures de cotonete, carga irregular</t>
  </si>
  <si>
    <t>D,C</t>
  </si>
  <si>
    <t>1kg/hg KNO3</t>
  </si>
  <si>
    <t>Rebaixar, desmamonar</t>
  </si>
  <si>
    <t>Millor cara q Castelló, molta fruta, carga irregular, se veu grog, molta menos araña, daño de cotonete, no hay mucho cotonete vivo. Midnight patin sed.</t>
  </si>
  <si>
    <t>El hort en general orri molt millor color, arrufatino y oronul plena de araña, molta molta, arbres en presencia del 100%. Els empelts de orri van bé, els de arrufatino falten molts per brotar y haurem de reempeltar</t>
  </si>
  <si>
    <t>Poca fruta, ha hagut moltíssima araña, el tractament ha anat bé, segueix havent algo de araña. Molta fulla taca de araña y caen a terra</t>
  </si>
  <si>
    <t>Jorge Flor</t>
  </si>
  <si>
    <t>Hort en molt millor cara, la grojor ha baixat, encara es veuen deficiències  nutricionals, nova brotació  molt bona sobretot en la plantona, es veu prou fruta, presència  de AR necesita tractar. Les carbasses  fan millor cara, bona floració  i cada dia més fruts, massa brossa.</t>
  </si>
  <si>
    <t>El hort en general  té bona cara, alguns abres amb brotacions, hi ha fruta, alguns síntomes de falta de nutrients, alguns arbres a acapolar i llevar rebrots frutals. No hi ha AR salvo focos contra el hort plantat</t>
  </si>
  <si>
    <t>Hi ha AR no molta però  en alguns punts defoliarià els arbres, alguns arbres tenen una bona brota, hi ha fruta però  no molta, bona cara general però  algunes deficiències, reampeltar</t>
  </si>
  <si>
    <t>Hi ha molt poca AR, els arbres tenen bona cara, poca brotació  I algo de fruta, alguna grojor i falta de nutrients. La ampelta té una brotació  sana espectacular. Tenim que acapolar cirerer del tot i repasar ampelta. Llevar mamons soques.</t>
  </si>
  <si>
    <t>Revisar reg plantons</t>
  </si>
  <si>
    <t>No hi ha AR. Brotació  generalitzada en tot el xlo i el chislett. Deficiències  nutricionals  en el xlo i algun arbre en la banca del chislett en situació  crítica. Desmamonar i destarugar en motoserra, repasar ampelta i pintar talls.</t>
  </si>
  <si>
    <t>Ort, Chislett</t>
  </si>
  <si>
    <t>Algo més de clorofila, tractament  en el clementi prou efectiu molt poca AR però molta AR en el nadorcott, toca tratar. No se ha regat no se ha xupat el abono</t>
  </si>
  <si>
    <t>Bona brotació  en alguns arbres, es veuen algunes frutes, segueixen havent grojors i faltes dr nutrients  però  el estat general del hort ha millorat, la AR se ha reduït moltíssim, les planxes de la bancada de baix van pitjor i han fallat, bancada de dalt molt millor. Rebaixar  desmamonar i repasar empelts. Llevar arbres.</t>
  </si>
  <si>
    <t>T10</t>
  </si>
  <si>
    <t>Segar brossa</t>
  </si>
  <si>
    <t>Jorge i flor</t>
  </si>
  <si>
    <t>Arranca brosses i limpiar flors</t>
  </si>
  <si>
    <t>Las plantas y las frutas de JC1 y G2 son identicas. A veces pienso que son la mismal variedad, aunque hay una diferencia : las JC1son, todos los años, las primeras en florecer. Las siguientes en florecer son Hibridum y G2, 10 o 12 dias despues que JC1. Excepto con la primera floracion de JC1, el resto de floraciones de la temporada JC1 y G2 florecen al mismo tiempo.</t>
  </si>
  <si>
    <t>Idem + presencia de molt de Cotonet en certs punts.</t>
  </si>
  <si>
    <t>Muy buena cara los plantones . Hay algo de araña . Casi todas las hojas nuevas son muy buenas y están limpias de plaga.</t>
  </si>
  <si>
    <t>Mucha incidencia y presencia de araña . Se tiene que tratar. Sigue cayendo fruta, incluso fruta de 20 milímetros. Los árboles marcan mucha sed . Se sigue viendo fruta pero ha caído muchísima . Hay árboles que se van a quedar pelados de hoja . Mucha incidencia de araña.</t>
  </si>
  <si>
    <t>Orri brosa recuperat espectacular, sols queden grocs algun abre que se haura de acapolar  se veu algun teronger ple. Vora alguna teronja torta de cotonet. Cotonet viu. Mosca minei iniciant canvi de fulla. Orri resto agarra bon color, se va perden les puntes grogues, teronges sols abres en volor oscur.  Els plantons va milloran. Arrufatino,  moltes fulles atacaes de AR, pero no totes en viva.  Ha de renovar tota la fulla, Oronul, igual pero menos que arrufatino.  La empelta va fen cami,  se ha de reempeltar</t>
  </si>
  <si>
    <t xml:space="preserve">Juan   </t>
  </si>
  <si>
    <t>T10 (+Abamectina 1,5L), Clementins</t>
  </si>
  <si>
    <t>Canviar a reg aspersors i limpiar flors</t>
  </si>
  <si>
    <t>8 JC1, 1 G2, 5 Purple Haze, 2 ?, 4 Pink, 5 Costa Rica, Polinizadas con Honduras. 25 Flores Año pasado 13, curiosamente tambien polinizadas con Honduras. Acumalaes 2574</t>
  </si>
  <si>
    <t>T9 (Sense AA)</t>
  </si>
  <si>
    <t>T2 (Sense Carnadine, 15L Oli)</t>
  </si>
  <si>
    <t>Per lo general millor color de tot el hort, es veu algo de fruta, dificil de trobar AR, tractament  efectiu, necesitem revisar reg, algunes brotacions bones.</t>
  </si>
  <si>
    <t>Se ha regat tot, abonat no mes nad crisu.  Olivera no ha abonat.  Dema en reg anar y tirar superbia plantona.  En clemenules tratament araña molt be.  No veu ninguna araña</t>
  </si>
  <si>
    <t>El hort te bon color, algunes grojors i mals de AR en fulla però  no he trobat AR viva, algunes brotacions noves i poca fruta. Acapolar tocons i arbrets.</t>
  </si>
  <si>
    <t>T2 (15L Oli)</t>
  </si>
  <si>
    <t>T2 (Sense Carnadine, 15L Oli) Crisu 1,3</t>
  </si>
  <si>
    <t>T9 (Sense AA), Tot</t>
  </si>
  <si>
    <t>Crisu 1 baix, AR morta, alguna brotació  bona, algo de fruta però poca, revisar reg, desmamonar navelinos, bon color pero falta de nutrients/grojor en les taronges sobretot. Mals de AR en totes les parcel·les, causarà  defoliacio. Crisu 3: Nova brota en esta parcela del arbres vells, han millorat molt, els plantons també  han millorat de color i van a més. No hi ha molta fruta. La AR està morta, difícil  de vore individuos vius. Crisu 1 dalt, Mals de AR, però  està  morta, noves brotacions sobretot en el mioro, el color dels clementins millora, però els taronges tener certa grojor, revisar reg. Algo de fruta. Crisu 2, Molt poc de AR, algo de mal, bona brotació  però  danyada per el trip, poca fruta, hi ha que desmamonar, falta de nutrients, la plantona avança. Revisar tot el reg</t>
  </si>
  <si>
    <t>Empelta se veu arrancan i neña valencia bona.  AR controla, veuen encara adults recien morts.  Alguna larva viva, pero poc de mal en general.  Clementins pro be, teronges en el cara sol, la cara norte buida.  Brosa b pero correjola ya se recupera. Se haura de estar alerta per els plantons xicotets.  Rebaisar cuant antes.  El empelts un poc grogs</t>
  </si>
  <si>
    <t>5 Costa Rica, 5 Pink, 1 ?, 1 Halley Comet, 1 American Beauty, Polinizadas con JC1 y Museros. Año pasado 0. Acumulados  2587.</t>
  </si>
  <si>
    <t>Continua el sobreabonat</t>
  </si>
  <si>
    <t>Ha baixat molt la població  de AR, tot i això  hi ha viva, els mals per AR són  terribles. Tot està  molt sec, quan va ser l'última  volta que es va regar? Defoliació! Els plantons están  malament. Hi ha fruta I les fulles sense AR o mals tenen bon color salvo arbres que pareix que van a morir. Fer la brossa!</t>
  </si>
  <si>
    <t>El mal per AR es terrible, ha baixat lo població  però hi ha prou viva, la defoliació  será  crítica. Hi ha que llevar tocons i fer la brossa moltíssima brossa. Un planto ha mort, el efecte de les matxines es més  efectiu no en plantons si no en arbres intermitjos, el seu color i la seua brotació  és  molt millor que la resta del hort. Hi ha algo de fruta</t>
  </si>
  <si>
    <t>El hort se ha refet, fa falta segar brossa, el herbicida en les tires molt ben fet. Se acaba de regar o això pareix i alguns arbres marquen sed. La ultima brotació  no ha tingut tots els nutrients  necessaris i el color palideja un poc. No hi han frutes.</t>
  </si>
  <si>
    <t>Regat</t>
  </si>
  <si>
    <t>El color está  molt millor, tot i això  clars síntomas  de deficiències  i grojors sobretot últimes  brotacions, però  el aspecte general del hort ha millorat. Molt poca AR i mal de AR. Poca fruta. Segar brossa frau i acapolar arbres morts i tocons. Se ha regat hui.</t>
  </si>
  <si>
    <t>Idem últim dia</t>
  </si>
  <si>
    <t>El color casi complet en tot el orri, no fondo.</t>
  </si>
  <si>
    <t>AR, no hia. Hort esta anan al puesto, bon color, brotacions grogues, tipic de oronuls primerenques. Se ha de desmamonar</t>
  </si>
  <si>
    <t>Crisu 1,3</t>
  </si>
  <si>
    <t>Araña baix control.  Se ha de desmamonar. Valencies tortes. Mioros y nules prou be. Bon color te slguns teronja</t>
  </si>
  <si>
    <t>Bon color, bon vigor y desarrollo.  Brotacio rosega per trip. Se te que desmamonar</t>
  </si>
  <si>
    <t>Hort be.  Empelta mol be podrem fer llaor.  Hia que fivar polvo formiga als empelts.  Hem de conseguir maxim desarrollo</t>
  </si>
  <si>
    <t>Falla reg atra vega.  Emitec avisat. PLANTAT UN NAVEL ROIG</t>
  </si>
  <si>
    <t>8 kg Fe, Crisu</t>
  </si>
  <si>
    <t>Molt bo tot.  AR si se busca se topeta, pero molt poca. Se veuen moltes neufines...y no presenten ralles. Les valensies no tenen cotonet Carabases plenes ya de flors femenines, conte que hiant ya mes de 500.  Hara que acampen...y faena pa cullir y guardar</t>
  </si>
  <si>
    <t>Olivera seguis sense abonar.  Color de tot cada dia millor
En clemenules hia fuga que arreglar enseguida. Encontra alguna araña.La nostra banca no seu ha tragat, hay una fuga importante de goma en el clemenules, no está reparada pq no tenia ferramenta, se ve alguna araña, la banca del crisu se ha colocado hierro</t>
  </si>
  <si>
    <t>Rebaixar i desmamonar</t>
  </si>
  <si>
    <t>Hort en general més oscur amb alguna brotació  anterior que va agafar forma, algo de fruta. Molts arbres defoliats, mal de AR tot i que la població  és més baixa hi ha AR viva. Ampelta se te que repasar, amb mals que poden ser de la maxina? Excés de sol/temperatura?</t>
  </si>
  <si>
    <t>1 Costa Rica, 2 Purple Hace, 4 Pink, 11 American Beauty, 1 G2, 4 Halley Comet, Polinizadas con mezcla JC1 y Museros. Total 23, Año pasado 11</t>
  </si>
  <si>
    <t>Bon color generalitzat, nova brotació  lignificant, síntomas de falta de nutrients  en fulles, se veu fruta, revisar reg, encara hi ha que llevar rames de xlo en els arbres, ampelta marxa però revisar. Reduir malea del vei.</t>
  </si>
  <si>
    <t>Desmamonat i paparrin brots</t>
  </si>
  <si>
    <t>Se veu prou bo, se ha mort algun abre. Hia madrra de soques que llevar.  AR pavtratase. Citrumelos bon color i nona trasa, dels millors horts.  Brosa pa fese.  Brosa plantons pa fese</t>
  </si>
  <si>
    <t>Situació crítica, molt de mal de AR, AR viva, defoliació  causada per AR, necesitat de revisar reg, tornar a tratar per a AR, servis de algo? Eliminar hernandino</t>
  </si>
  <si>
    <t>27 American Beauty. Polinizadas con Honduras
 Quedan sin polinizar 19 flores entre American Beauty, Halley Comet y Maria Rosa. Año pasado 12. Acumulados 2637.</t>
  </si>
  <si>
    <t>81 American Beauty, 9 Halley Comet, Polinizadas con mezcla JC1 y Honduras, 24 Halley Comet se quedan sin polinizar. 90
Año pasado 9. Acumula 2727</t>
  </si>
  <si>
    <t>Colocar feromones</t>
  </si>
  <si>
    <t>Como términos generales, el invernadero se ve bien, hay lichis que están prácticamente ya para acogerse . Ahí o bien árboles de lichis muy llenos o otros que no tienen nada . Parece que hayan también bastantes aguacates . No se ve que vaya a haber mucha floración pronto . La floración. Parece que ahora va a bajarla de pitayas. Feromonas colocadas</t>
  </si>
  <si>
    <t>Clementins mol bona faena.  AR el millor control hasta la fecha.
Orris color espectacular,  molt bo</t>
  </si>
  <si>
    <t>Bona cara, no hi ha fruta, replantar faltes, algo de mal en les puntes de les últimes  brotacions, calor? Plaga?</t>
  </si>
  <si>
    <t>Apenas hi ha collita, salvo algunos arbres, tot està  passant sed, la brossa no se ha desmadrat. Pensar si replegar olives o no. Hi han garrofes pa collir</t>
  </si>
  <si>
    <t>10 American Beauty, 2 Halley Comet, Polinizadas con Honduras. Año pasado 1.</t>
  </si>
  <si>
    <t>No han acabat, T5</t>
  </si>
  <si>
    <t>JV, JC</t>
  </si>
  <si>
    <t>21 Halley Comey, 30 American Beauty, Polinizadas con mezcla JC1 , G2 y Honduras. Total 52. Año pasado 6. ACUMULADOS 2779. Dilluns hia que fer matxina caragola en el Fe. Se ha de amanir. Ha colapsat un tramp de hundatus per el pes</t>
  </si>
  <si>
    <t>LIDA</t>
  </si>
  <si>
    <t>Plantona sense araña. Se hauria de fer repas de alicatar i reempeltar.   En hort grand  araña, si se fa podem acabar be la campaña.  Hem de pensar algo en el reg. No se veuen adults..no heu entenc, pero aixo es bo.  Mosca se aguanta.</t>
  </si>
  <si>
    <t>JC, Javi, C</t>
  </si>
  <si>
    <t>Cambiats claus de abonaores.  La brosa se podria fer, sobre tot darrere granja y mitat banca brosa. La pilveritzacio foliar ha anat bé, hi han brotacions però  els fallos de Mg no s'han  solventat fan falta més passes avanç. El producte en la bancada de la brossa ha tingut bon efecte tot i aixo hi han arbres que segueixen grocs i moriran. No hi ja fruta</t>
  </si>
  <si>
    <t>Segona goma carabasses instalada</t>
  </si>
  <si>
    <t>La máquina que hem comprat es una passada, la faena que era un mort es un paseo. Color groc i sed en algunes carabasseres, una planta ha colapsap i mort. Es veu fruta I es veuen flors. Marca falta de aigua, hi ha fruta, prou mals de AR però apenes AR viva, defoliacio i seca de rames. Alguna brotacio nova. La ampelta marxa estupendament</t>
  </si>
  <si>
    <t>Abonat completat. Aisetes aubertes pa regar.  Se veu alguna arauja nova.  Hi hauria que lligar empelts.  Els abres falta color per falta de reg. Se veuen cada dia mes fruta y en bon calibre. En clemenules se va veen mes AR.  Se haura de repetir</t>
  </si>
  <si>
    <t>Trampes mosca colocades</t>
  </si>
  <si>
    <t>40 trampes</t>
  </si>
  <si>
    <t>Trampes ceratitis colocaes [40].  Te un color oscur perfecte.  Esta molt bo.  Alguna teronja ya de 40 mm.  Alguna teronja en sintomes de insolacio,  hia que plantejar trataro. 
AR no hia.  Inyectat 12 kgr de KNO3</t>
  </si>
  <si>
    <t>12 kg KNO3</t>
  </si>
  <si>
    <t>Crisu 1, 2</t>
  </si>
  <si>
    <t>Trampes ceratitis colocaes [44]. A creiscut molt.  Escomenza a pareiser un hort. Els citrumelos molt bona traza.  Se ha de desmamonar. Se veu alguna teronja amaga per bais de les fulles,  se cullira. Trampes ceratitis colocaes banca de dalt y tira vora arrancat..  AR se aguanta,  bon color.  Molta fruta, de valencies, moltes en morret,  mioros mes que menos, pero moltes menudes pa aclarir, no cotonet.  Navelines a tope, molt de calibre y redones en poc de cotonet.  Se ha de desmamonar tot.  Els plantons de citrumelo molt nons.</t>
  </si>
  <si>
    <t>Crisu 2 44 trampes, Crisu 1 falta banca baix (4-6/hg)</t>
  </si>
  <si>
    <t xml:space="preserve">El de lida me ha dicho q la situación es critica. Q hay arboles q perderán el 100% de las hojas. Q hay fruta tocada de araña. Q ha medido frutos en el suelo de 28mm. </t>
  </si>
  <si>
    <t>T10 (+1,5L abamectina)</t>
  </si>
  <si>
    <t>Desmamonar y entutorar plantas jóvenes y esquejes</t>
  </si>
  <si>
    <t>Espolvorear con Paparrin los brotes de esas mismas plantas</t>
  </si>
  <si>
    <t>0 Polinizadas. Habia 5 flores de variedades comerciales pero me deje el aspirador en el patio.</t>
  </si>
  <si>
    <t>11 American Beauty polinizada con Honduras. Año pasado 0 polinizadas
Hoy 11 polinizadas</t>
  </si>
  <si>
    <t>Cada dissabte. No acabat</t>
  </si>
  <si>
    <t>Aclareo botones florales i limpiar flors</t>
  </si>
  <si>
    <t>Plenant balsa</t>
  </si>
  <si>
    <t>2 Pink y 1 American Beauty sin polinizar por falta de  polinizadores. Año pasado 22</t>
  </si>
  <si>
    <t>5 American y 1 Halley Comet NO polinizadas. Año pasado 50. Primera caja de la campaña. En una hora en la Cooperativa San José de Burriana.</t>
  </si>
  <si>
    <t>Soltar Cryptolaemus</t>
  </si>
  <si>
    <t>Abonat no tragat</t>
  </si>
  <si>
    <t>500 crisu 2, 1500 Crisu 1+3</t>
  </si>
  <si>
    <t>Esta pa desmamonar, te molta fruta plan de inyeccio de KNO3 per millorar fruta</t>
  </si>
  <si>
    <t>Soltar cryptolaemus</t>
  </si>
  <si>
    <t>Collantes 1-500, Collantes 2-1500</t>
  </si>
  <si>
    <t>Collantes 2: Esta molt bo, molt de color, molta brotacio limpia. Molta fruta, podiem pensar tambe en KNO3.  Hia que desmamonar soquetes urgen. Collantes 1: Bon color, AR no ha fet mal. No sen veu viva  Cullita a mitges depen del abre. Carabasses: Cada dia mes. Calibre amitjanat, tenen mol bona traza</t>
  </si>
  <si>
    <t>AR no res, va creixen pero deviem de forçaro mes en floliars. Mirar rego per abonar.  Segar brosa</t>
  </si>
  <si>
    <t>JC,D</t>
  </si>
  <si>
    <t>La injertada se tiene que reinjertar. Se tiene que desmamonar . No se ve mucha araña viva, pero los daños de araña son una locura. La injertada va tirando . Faltan muchas planchas por brotar todavía</t>
  </si>
  <si>
    <t xml:space="preserve"> Proxima semana repasar empelta.  Fer brosa darrere granja y banca brosa.</t>
  </si>
  <si>
    <t>Alguna araña, se fara proxima semana.  Empelta clemenhola, esta mol be.  Arrufatina va brotan pero moltes planxes en punxa que tardaran en brotar.  Proxima semana intentare repasar empeltases.  Se veuen alguna terongeta</t>
  </si>
  <si>
    <t>Chislett: Xlo va creisen, hia que reforzaro en foliar y abonaes.  Si tingueren mes aigua millor.  El chislet esta molt bo, te mitja cullita pero ferem numeros per llevaro el any que ve i apostar per la xlo. Res AR. Ort: Desarrollo espectacular, color negre de fulles.  Abres pa fer 100 kg.  No tenen moltes teronges.  Dobla va fen cami.  No res AR</t>
  </si>
  <si>
    <t>Empelta cria. AR se aguanta, una semana pa tratar.  Alguna brosa, se podria fer</t>
  </si>
  <si>
    <t xml:space="preserve"> Va ficant color</t>
  </si>
  <si>
    <t>Perfi se engolis el abono</t>
  </si>
  <si>
    <t>AR se ha controlat.  Vullita molt curta,  4000 kg</t>
  </si>
  <si>
    <t>AR limpio, ha hagut molt de mal, pero els abres tornen a rebrotar, si no torna els recuperarem pronte. Plantona no ha tingut araña.  El any que ve haura de cullir.</t>
  </si>
  <si>
    <t>Se ha tragat el aigua, esta vespra rellenare pa dema.  Trampa mosca "0" captures en 4 dies.  Les trampes les hem ficat un mes mes pronte. Hort mol bo. La brosa que no matem pareis que es el arroset (arrocillo) echinocloa colona. Pa matalo hia que ficar cletodin</t>
  </si>
  <si>
    <t>Rellenat aigua tambe. Brosa castello esta pa repasase especialment nules.  Esta ple de Echinocloa, se ha de añadir brixton.</t>
  </si>
  <si>
    <t>Repasar empelts brosa y nostre. Tancar abonaores caseta.  Nostre no se ha chuplat, clau mitg no estava tanca. Fer brosa tambe molta Echinocloa. Horts que patisen san marc, se han recuperat molt.  Empelta oronul la majoria brota, y brota molt bona en fos anys cullir. Alguna fruta en el orri.</t>
  </si>
  <si>
    <t>Repasar ampelts</t>
  </si>
  <si>
    <t>Brossa i darrere de la granja</t>
  </si>
  <si>
    <t>1kg/hg  Nitrium +1kg/hg  Superbia, Clementins i banca darrere</t>
  </si>
  <si>
    <t>47 American y Halley no polinizadas. Hace años que no se qudaban tantas sin polinizar.
Año pasado 53.</t>
  </si>
  <si>
    <t>Abonada Plantons</t>
  </si>
  <si>
    <t>20-5-10.  200g/planta</t>
  </si>
  <si>
    <t>Plantona: hi ha algun arbre que te algo de AR, la plantona marxa però  fa falta desmamonar i destarugar. 1 falta. Mals de conills. Revisar el reg. Banca gran: molt de mal de AR, defoliació, hi ha fruta, pareix que torne a brotar.</t>
  </si>
  <si>
    <t>Estat general del hort bé  però  certa grojor generalitzada, falta de ferro/N? No molts mals de AR, no presència de AR. Algo de fruta. Herbicida tires i triturar frau, acapolar arbres morts.</t>
  </si>
  <si>
    <t>El hort marca sed, bona cara però  certa grojor posible falta de N y algo de Mn. Poca fruta els plantons van anant. Acapolar arbres, desmamonar troncos.</t>
  </si>
  <si>
    <t>Hípica: Hort amb molt mal de  AR, no AR viva, però ja hi ha defoliació, algo de fruta. Se ha regat hui però malament, demà  se regarà del tot. Els plantons van tirant però  uno ha mort. Valcó: Molt de mal de AR, molta defoliació, algo de fruta, no se ha regat, seca de rames. No AR viva. Acapolar arbres morts.</t>
  </si>
  <si>
    <t>Molt de mal de AR, algo de defoliació, algo de fruta. Encara hi ha AR viva.</t>
  </si>
  <si>
    <t>Alguns arbres amb danys critics de AR, defoliació  evident, no AR viva. Algo de fruta, poca? Color de la resta de arbres bo. Fa falta desmamonar i llevar tocons</t>
  </si>
  <si>
    <t>Clementi molta brosa y part de arroset. Color prou bo. Molta fulla araña caiguda. Els nadorcotts tenen color algo palit com a carencies de N. Nadorcott olivera se acanat de tragar el KNO3.  En dreta colocat abonaora</t>
  </si>
  <si>
    <t>5 kg Superbia, Crisu</t>
  </si>
  <si>
    <t>Repasar ampelts i doblar-los</t>
  </si>
  <si>
    <t>Gran, Arrufatino i fondo</t>
  </si>
  <si>
    <t>Sobreabonat solid plantons</t>
  </si>
  <si>
    <t>brossa, costat granja, darrere granja y gran, 20-5-10</t>
  </si>
  <si>
    <t>Costat granja y gran no se mor cap abre, bon color y molt de volumen de hort. Fondo  molts terongers morinse. Ampelts tots agarrats y casi tots brotats. Bona marcha y bon color. No veu minafor ni trips.  Banca de dalt molts clots de jabalis. Brossa bases fe jabalis.  Darrere granja molta humitat.</t>
  </si>
  <si>
    <t>J</t>
  </si>
  <si>
    <t>Collita</t>
  </si>
  <si>
    <t>Pulveritzar amb maxina</t>
  </si>
  <si>
    <t>19 American Beauty, 2 Sugar Dragon, 2 G2, 16 Halley Comet , Polinizadas con Pink. Total 39. Año pasado 31. Comentario sobre polinizadores:
Las variedades que tenemos catalogadas como Pink y Red son en todo iguales : aspecto exterior, color de pulpa, sabor, fecha de floracion y recoleccion y forma de la planta. Tambien son polinizadoras mediocres, pero no desastrosas. Si no hay otras opciones polinizo con ellas. Si hay poco polen de calidad mezclo su polen con el de JC1, G2, Hibridum... hasta un porcentaje aproximado del 50%. Con la Costa Rica hago lo mismo. Las Costa Rica, JC1 y G2 tienen brácteas más grandes, así que parecen más grandes de lo que son. Lo malo es que Hibridum no sabe a nada.  Ademes les hibridum tampoc son molt xules.</t>
  </si>
  <si>
    <t>T12</t>
  </si>
  <si>
    <t>Mal generalitzat de AR, haura defoliació. Algo de AR  viva pero molt poc. Revisar el reg, alguna fuga i alguns arbres/plantons passen sed. Color general del hort bo però  no molta fruta. Els jabalíes han atacat literalment 3 plantons, 2 els he replantant 1 ha mortal perquè  el han trencat.</t>
  </si>
  <si>
    <t>Plantona en un estat increïble nova brotació  amb fulles grans, es veu fruta i els arbres tenen una negror bona. Algo de mals de AR però poc i no he vist AR viva. Necesita revisio del reg i desmamonar  tot. Les carabasses no acaben de plenar tota la parcela. Hort vell més afectat de AR i no tan bona cara.</t>
  </si>
  <si>
    <t>T11 (Sense Zn+Mn)</t>
  </si>
  <si>
    <t>T11 (Sense Zn+Mn), Crisu 2</t>
  </si>
  <si>
    <t>T11 (Sense Zn+Mn), Crisu 2 No acabat</t>
  </si>
  <si>
    <t>Hort en millor cara, però ja hi ha AR, serà necessari tractar dilluns. Necessari  segar frau I herbicida en les tires. Necessita dedicar-li  temps repasar ampelta i preparar pomelos per ampeltar. Se ha vist presència  de MB. El pomelo te signos de falta de Nutrients. Hort abandonat dedicar-li  més temps.</t>
  </si>
  <si>
    <t>C,JC</t>
  </si>
  <si>
    <t>Idem + No han vingut ha  revisar el reg</t>
  </si>
  <si>
    <t xml:space="preserve">Idem   </t>
  </si>
  <si>
    <t>Oronul, Banca baix, Arrufatino, 20-5-10</t>
  </si>
  <si>
    <t>Repasar ampelts y reampeltar</t>
  </si>
  <si>
    <t>Tancar aigua</t>
  </si>
  <si>
    <t>Secà nou</t>
  </si>
  <si>
    <t>JC,C</t>
  </si>
  <si>
    <t xml:space="preserve"> </t>
  </si>
  <si>
    <t>Idem + Orri darrere granja, No ha regat, no a tragat el abono</t>
  </si>
  <si>
    <t>T11 (Sense Zn+Mn), Hípica</t>
  </si>
  <si>
    <t>10 Pink, 1 Red, 2 Yellow, 1 Costa Rica, 8 American Beauty, 8 Halley Comet, 1 Tesoro, Polinizadas con Hundatus.  Total 31. Año pasado 16</t>
  </si>
  <si>
    <t>Ha hagut mal de AR però  no excessiu, segueix havent algo de AR viva. Hi ha fruta i una nova brotada que refarà el hort. Té  millor cara en general. Revisar el reg i al llarg plaç fer la brossa, repasar ampelta.</t>
  </si>
  <si>
    <t>Balcó, T13</t>
  </si>
  <si>
    <t>Patos, T13</t>
  </si>
  <si>
    <t>Plantons abonats</t>
  </si>
  <si>
    <t>Hi han mals de AR però pocs, hi ha AR viva en alguns arbres. Tenim que tornar a desmamonar el Ort i el XLO, repasar herbicida plantons i repasar el reg. Fa falta motoserra per a llevar tarujos i rames innnecesaries, reampeltar on faça falta i pintar talls. No hi ha fruta. Color del hort bo salvo les deficiències  nutricionals que presenta la xlo</t>
  </si>
  <si>
    <t>20-5-10,</t>
  </si>
  <si>
    <t>Llevar araujes</t>
  </si>
  <si>
    <t>Lleu presència de AR</t>
  </si>
  <si>
    <t>Abonat plantons</t>
  </si>
  <si>
    <t>Crisu 1 baix: Hi ha fruta, hi ha una nova brotació bona. Hi ha mals de AR però  poc, en la tira contra el veí plantat Hi ha molta més AR i molt més  mal de AR, pareix que falta aigua especialment en eixa tira. Desmamonar  navelinos. Crisu 3: Hi ha fruta, però  hi ha molt de mal de AR I també  prou AR viva. La plantona marxa molt bé. Hi ha brotació  en arbres vells i jovens. Crisu 1 dalt: Molt bona brotació  nova, hi ha algo de fruta. Els taronges  tenen més sintomes de falta de nutrients. Hi ha presència de AR viva i mals de AR. Fa falta fer la brossa en les tires. Desmamonar  I revisar reg.Crisu 2: Bona cara general del hort i bona brotació, però  marca faltes de nutrients. No hi ha fruta. Hi ha que revisar el reg, hi ha que desmamonar tot, hi ha que fer la brossa de les tires. Algo de mal de AR, però  no viva</t>
  </si>
  <si>
    <t>Acabar repasar y reempeltar nou arrufatino</t>
  </si>
  <si>
    <t>D,JC</t>
  </si>
  <si>
    <t>Oronul secà</t>
  </si>
  <si>
    <t>D, JC</t>
  </si>
  <si>
    <t>Empelta edta molt be. Practicamen tot brotat, en molta força y bon color. No te ni minaor no trips. Oronules poc a poc</t>
  </si>
  <si>
    <t>Se veu molt be. Color de tot molt intens. Abres fulles mol amples y color oscur.  Pitahayes en molt bon calibre.  No han capturat ninguna palometa en les trampes.
Els litchis estan pa cullir.  El abre que en te, en te amunto. Atres buits. Els hass molt plens.  La nova varietat se trencara de carrega. Se hauria de parchejar la brosa. Y tallar abres de fora y els apolats.</t>
  </si>
  <si>
    <t>20 pink, 1 costa rica, 1 AB, Pol con blanca semilla, 4 blanca semilla, 3 yellow, Polinizad CR. Total 29. Acumuladas 2902</t>
  </si>
  <si>
    <t>3 American Beauty, 1 Blanca Semilla, 4 María Rosa, 7 Golden. Polinizadas con Hibridum y Golden</t>
  </si>
  <si>
    <t>20-5-10, No acabat</t>
  </si>
  <si>
    <t>20-5-10, acabat</t>
  </si>
  <si>
    <t>Hort creixent molt be. Mal de trips en ultima brotacio. Es urgent repasar empelta y desmamonar.  Citrumelos molt desarrollats. Empeltables. Se devien de parar y preparar si volem ficar 2 o tres planxes.  AR no veu. Msl de sol.</t>
  </si>
  <si>
    <t>Color de hort negre molt intens.</t>
  </si>
  <si>
    <t>Tots els empelts brotats. Vares molt bones.  Sense minaor ni trips. Se tenen que lligar els empelts pa que no trenquen.  No veu mosca blanca en xislet</t>
  </si>
  <si>
    <t>12kg KNO3, Crisu</t>
  </si>
  <si>
    <t>10kg KNO3, olivera</t>
  </si>
  <si>
    <t>AR se conte. No esta espandinse.  Empelts esperimentals se han de rebaixar y lligar hort bon color y rebrotat en fulla desarrolla.  Dobla en bona trasa, van desarrollanse.  Se haurien de haver tirat les valensies</t>
  </si>
  <si>
    <t>Idem</t>
  </si>
  <si>
    <t>5kg Brossa, 5kg darrere granja, 15 kg museros</t>
  </si>
  <si>
    <t>Garrafes per a injectar</t>
  </si>
  <si>
    <t>AR va a mes.  Tratar.  Empelta espectacular, no te AR. Se ha de desmamonar, lligar y despuntar.  Es urgen fer la brosa.  Revisar horari reg.</t>
  </si>
  <si>
    <t>Recolectar y cargar abonadora</t>
  </si>
  <si>
    <t>13 American Beauty, 8 Maria Rosa, 3 Halley, 1 Tesoro, Polinizadas con JC2.5 Cajas de Roja (Hibridum) y 1 de Blanca (Museros). Mals de orugues.</t>
  </si>
  <si>
    <t xml:space="preserve">No es veuen encara cambits per el abonat. </t>
  </si>
  <si>
    <t>Reg canviat a 2,5 hores</t>
  </si>
  <si>
    <t>Amplit garrafes per regar</t>
  </si>
  <si>
    <t>Chislet molt bo. Bona teronja. Mitja cullita. XLO marca carencies, pero cada vega menos. Molts teronhers ya criats.  A les puntes pareis que falla reg.  Les gomes tdllaes seguisen perden sigua.  No rega al hora que toca, se ha de cridar sind regs.</t>
  </si>
  <si>
    <t>Ficar garrafes per a injectar</t>
  </si>
  <si>
    <t>Molt brotat.  Pa recuperslo se tendria que tratar minaor y tryps</t>
  </si>
  <si>
    <t>Se veuen algunes teronges. No veu AR.  No se ha regat.  Dilluns sind regs</t>
  </si>
  <si>
    <t>Alguna carabasera a colapsat. Seguisen eixin carabasetes. Plantona a pegat una creixcuda molt bona y seguis brotan.  Empelta cria, els empelts despuntats han rebrotat 30 o 40 cm. Hort vell bo.  AR continguda</t>
  </si>
  <si>
    <t>Desmamonat i destarugat</t>
  </si>
  <si>
    <t>El hort te millor cara que mai, tot I que segueixen avant sintomes de falta de nutrients  en fulla. Hi ha algo de mal de AR però poc, no hi ha AR viva en tot el hort salvo la tira contra els gitanos, hi ha més  mal i més  AR. Quan han segat la brossa han tocat molts troncs i alguns malament. Hi ha fruta. Fa falta destarugar amb motoserra, pintar talls, repasar ampelts i fer la brossa de les tires.</t>
  </si>
  <si>
    <t>Hi ha molt de mal de AR en alguns arbres amb greus defoliacions. La majoria de AR está  morta però  es troven larves vives. Está  rebrotant però pareix que el trip ataca/atacara els rebrots. Hi ha fruta. Fa falta repasar la ampelta i les carxofes de reg. Comença a haver brossa per a fer en les tires.</t>
  </si>
  <si>
    <t xml:space="preserve">Desmamonar </t>
  </si>
  <si>
    <t>47 Flores, la mayoria American Beauty y Halley Comet, sin polinizar por falta de polinizadores.</t>
  </si>
  <si>
    <t>Fa falta lligar ampelts i repasarlos. Hi ha que revisar el reg en tot, fugues en les carabasses  i en la plantonada. La plantonada marxa molt bona brotació amb algo De mal de AR però no he vist apenes viva. Hi ha prou collita.</t>
  </si>
  <si>
    <t>Desmamonari despuntat</t>
  </si>
  <si>
    <t>Desmamonat  i rebaixat</t>
  </si>
  <si>
    <t>Tot el hort molt afectat de AR, encara hi ha AR, hi ha defoliació i  seca de rames. Hi ha algo de fruta però  se està  quedant menuda. La ampelta va bé  però  fa falta lligar i repasarlo  se están  rajant els ampelts. Brossa de les tires i repasar el reg necesari</t>
  </si>
  <si>
    <t>Retirar abonadora</t>
  </si>
  <si>
    <t>T14</t>
  </si>
  <si>
    <t>T14, Crisu 2</t>
  </si>
  <si>
    <t>T10 (+1,5L abamectina), Clementí</t>
  </si>
  <si>
    <t>1 Maria Rosa, 2 Costa Rica, 2  G2, 2 ?, 8 American Beauty, 2 Halley Comet, 1 Tesoro, Polinizadas con Hibridum. Total 18, Año pasado 150.</t>
  </si>
  <si>
    <t>Algun empelt ya trencat. Se ha de fer araña empelts. Queda nugar i despuntar la banca del fondo.</t>
  </si>
  <si>
    <t>Reempeltat</t>
  </si>
  <si>
    <t>Lligar ampelts</t>
  </si>
  <si>
    <t>Banca entrada</t>
  </si>
  <si>
    <t>T5 (Brixton 50cc)</t>
  </si>
  <si>
    <t>Solta Cryptolaemus</t>
  </si>
  <si>
    <t>2000 banca gran</t>
  </si>
  <si>
    <t>T15</t>
  </si>
  <si>
    <t>Gran: El mal de AR es crític, moltes fulles tocaes i molta defoliació, alguns arbres defoliats están  tornant a brotar pero no tots. Encara hi ha AR viva. Es veu menys fruta de la que havia. Repasar tomes de reg per evitar xarcos. Platona: Els plantons avançen, ha hagut una ultima brotació, danyada per trip i minador. Hi ha mals de AR. Fa falta destarugar, desmamonar i  repasar el reg.</t>
  </si>
  <si>
    <t>Soltar cryptolaemus, tancar abonadores</t>
  </si>
  <si>
    <t>2500,  Orri</t>
  </si>
  <si>
    <t>Orri molt bon color y bo.  Acapolar uns 15 abres cuant tinguem picaora. Empelts plantons creixen tots els dies</t>
  </si>
  <si>
    <t>500 Nadorcott, 1000 Valencies</t>
  </si>
  <si>
    <t>Nadorcott: Se ha acapolar lledoner. Hort molt bo, bon color. Mosca Blanca poca.  Moltes teronges cada dia mes. Valencies: Teronja bon calibre. Mitja cullita. Se ha de desmamonar y llevar una rameta.  Arreglar goteo</t>
  </si>
  <si>
    <t>Hipica, repasat</t>
  </si>
  <si>
    <t>Hipica: Hort en general millor gràcies  a una nova brotació que està refent els arbres, en alguns punts afectada per el minador. Es veu fruta. Molt de mal de AR en fulla i defoliació  però  no he vist AR viva. Se ha repasar el reg i tot se ha regat molt bé. Llevar mamons i tocons. Valco: Molt de mal de AR, fulles tocaes, defoliació,  seca de rames, etc. Apenes AR viva pero algo es veu. Hi ha fruta però  hort amb mala cara, els plantons moriran entre la sed i el herbicida. Eliminar tocons i arbres morts. Segar brossa.</t>
  </si>
  <si>
    <t>Hort en general verd però  falta tonalitat de verd, més N necesari. No hi ha fruta. Hi ha prou arbres amb mal de AR i AR  viva, tot I que el mal és  lleu. Fa falta desmamonar. Se ha regat hui. Segar brossa.</t>
  </si>
  <si>
    <t>Hort en general ha recuperat verdor i te bona cara apenes hi han mals de AR o AR viva. El tractament de la brossa ha funcionat molt be. Es veu algun arbre amb fruta. Encara es veuen algunes deficiències  nutricionals a les fulles , Mg, Fe. Acapolar arbres morts i  replantar plantons que no tiren. Segar  brossa.</t>
  </si>
  <si>
    <t>La nadorcott fa mala cara perque te AR en 70 % de les fulles.  Hia que tratar urgentment. el hort respirara</t>
  </si>
  <si>
    <t>Asoltar Cryptolaemus</t>
  </si>
  <si>
    <t>2000, Nadorcott</t>
  </si>
  <si>
    <t>Desmamonar empelts plantons y lligar</t>
  </si>
  <si>
    <t xml:space="preserve"> Desmamonar empelts raros, rebaixar y lligar</t>
  </si>
  <si>
    <t>No acabat, T15</t>
  </si>
  <si>
    <t>Hort prou bona pinta.  No veu AR. Moltes unitats de teronges. 3 fugues a arreglar</t>
  </si>
  <si>
    <t>Hort en moltes teronges. Mosca minei no mes en fulla vella. Empelts casi tots brotats. Farem molta llaor. Se havien de pintar els dos abres.</t>
  </si>
  <si>
    <t>Rebaixar empelts, desmamonar, lligar y empeltar</t>
  </si>
  <si>
    <t>2 arbres més y 2 fallaes</t>
  </si>
  <si>
    <t>Cargar abonadora, Recolectar, Aclarar i limpiar flores</t>
  </si>
  <si>
    <t>Cargar abonadora, Recolectar lichis</t>
  </si>
  <si>
    <t>22 Costa Rica, 16 Red, 3 Pink, 2 American Beauty, 2 G2, 1 ? , 12 Halley Comet, Polinizadas con Hibridum.Total 58. Año pasado 97. Quan se recolecta també calibrado i encajado. Repartim fruta en Benicassim, Burriana, Mercovasa, Mercavalencia.</t>
  </si>
  <si>
    <t>T16</t>
  </si>
  <si>
    <t>Lligar i despuntar</t>
  </si>
  <si>
    <t>Molt bona collita, es veu molta fruta I de bona qualitat per tots els llocs, també  noves flors. Tot i això fa falta més  manteniment, moltes rames seques, molta basura, frutes danyades que no se tiren enterra. Revisar demà  amb diego el invernadero.</t>
  </si>
  <si>
    <t xml:space="preserve">Banca vella: La ampelta te molt bona cara progressa de una forma brutal. El hort en general bona cara, algunes grojors I algo de mal de AR. Els ampelts tenen tambe algo de mal de AR I pareix que hi haja algo de MB. Veo algo de araña, pero de momento poco . El calibre medio de la banca Vella. Lo veo muy pequeño. Revisar calibre. He reparado dos fugas de la plantonada que estaba regando. Carabasses: pareix que van plenant el terreno, tot I això  pareix que algunes  patisquen sed. </t>
  </si>
  <si>
    <t>Hi ha rossat tots els matins ja, la humetat relativa del hort es molt superior. Alguns ampelts se han lligat massa tard ja estan endurits. Hauria  que haver lligar avanç. Les carbasses pareix que cada dia colapsen més, revisar el goteo important, tal volta les fugues están podrint les arrels</t>
  </si>
  <si>
    <t>Abonada Carabasses</t>
  </si>
  <si>
    <t>Lligar i despuntar ampelts</t>
  </si>
  <si>
    <t>Els mals de AR són  molt elevants, tires amb tots els arbres amb fulles tocades, defoliació  de les puntes, i presència  de AR viva. Alguns arbres estan brotan i se refaran. Hi ha algo de fruta. Els plantons tenen AR.</t>
  </si>
  <si>
    <t>T15, Crisu 1-2</t>
  </si>
  <si>
    <t>La plantonada del crisu 2  Tiene araña viva en hoja. El calibre medio de las mioros es muy pequeña .</t>
  </si>
  <si>
    <t>Despuntar i lligar</t>
  </si>
  <si>
    <t>Mal de AR i AR viva tant en els empelts com en els arbres veis. Es veu algo de fruta. La ampelta tira prou be. revisar reg i fer el herbicida de les tires es necesari.</t>
  </si>
  <si>
    <t>Collir pitahayes</t>
  </si>
  <si>
    <t>Cargar abonadora, Recolectar lichis i pitahayes</t>
  </si>
  <si>
    <t>C, J</t>
  </si>
  <si>
    <t>J, C</t>
  </si>
  <si>
    <t>70 Costa Rica, 35 Red, 11 Pink, 65 Yellow, 18 Museros, 6 Blanca Semilla, 10 White, 13 Hundatus, 1 Purple Haze, 2 American Beauty, 26 Halley Comet. Total 256. Año pasado 174. Idem. Acumulados POLINIZADAS 3274</t>
  </si>
  <si>
    <t>64 Costa Rica, 77 Museros, 43 Blanca Semilla, 57 Red, 93 White, 22 Pink, 61 Yellow, 153 Hundatus, 52 Golden, 10 Marmel. Polinizadas con Blanca Semilla y White.Total 631 
Año algo por encima de 1000. Acumuladas 3905</t>
  </si>
  <si>
    <t>7 Maria Rosa, 27 Halley Comet, 16 American Beauty, 4 G2, 2 Purple Haze, 16 Costa Rica, 92 Museros y Blanca Semilla, 6 Red, 13 White, 1 Yellow, 9 Pink, 102 Golden, 58 Hundatus Polinizadas con mezcla Hibridum y Blanca Semilla. 354. Año pasado 399</t>
  </si>
  <si>
    <t>3 Costa Rica, 1 Museros, 7 Blanca Semilla, 5 White, 63 American Beauty, 33 G2, 13 Purple Haze, 2 ? , 83 Halley Comet, 49 María Rosa, Polinizadas con mezcla Golden y White. 259. Acumuladas  4518.</t>
  </si>
  <si>
    <t>C,J,D</t>
  </si>
  <si>
    <t>T11, Orri</t>
  </si>
  <si>
    <t>T15 (Abofol 50cc, Ergostin no)</t>
  </si>
  <si>
    <t>Clementins: hi ha molt de mal de AR, quasi totes les fulles tocades i defoliació.  Torna a haver AR viva. Està rebrotant i recuperant-se  però  molt lleugerament. Algo de fruta. Orri: bona cara tot i que les faltes de nutrients no están  corregides. No hi ha fruta. Els plantons i empelts van tirant. Tenim que revisar el reg, fugues i xarcos.</t>
  </si>
  <si>
    <t>T15 (Abofol 50cc, Ergostin no), Crisu 3</t>
  </si>
  <si>
    <t>Molt de mal de AR, hi ha fruta però  no prou fulla  per a compensar la carrega, molta fulla enterra o tocada. Algo de AR viva pero molt poca. Els plantons avençen. Algun plantó morirà. Revisar reg a la punta.</t>
  </si>
  <si>
    <t>Ort: hi ha AR viva i fulles tocades, no hi ha fruta, tot I això  alguna fruta amb mal de AR. Els plantonets avançen  tot i que alguns no tiren. Brossa que se enreda als arbres. Fa falta tornar a desmamonar, pintar talls, destarugar amb motoserra i pintar talls. Revisar reg. Chislett: alguns arbres de xlo no tiren. Menos AR que en el ort. Algo de mals de AR. En tot el new hall marques de falta de nutrients. Repasar arbres, destarugar amb motoserra, pintar talls i tornar a desmamonar.</t>
  </si>
  <si>
    <t>Hort en general se manté. Algo de mals  de AR en fulla pero poc. Alguna larva viva pero molt poca AR. Es veu algo de fruta però calibre molt baixet. Certa grojor i com sintomes de falta de aigua en alguns arbres</t>
  </si>
  <si>
    <t xml:space="preserve">Olivera: Los árboles han mejorado de cara, el tratamiento de la araña roja ha funcionado, se ve algo de cotonet sobretodo en frutas en contacto. Calibre desigual pero generalmente bueno, arboles con fruta y otros vacios. Clementí: Mucha hierba, se ve algo de fruta y de buen calibre, mucho daño de AR, se ve algo de AR viva, les plantes están brotan. Crisu: Repasar enredaderas, he arrancado 2, los arboles siguen teniendo mala cara pero parece que mejoren, el calibre de la fruta es más bajo, hay árboles q no tienen fruta, el tratamiento de la AR ha funcionado pero se sigue viendo algo de AR. Se ve algo de cotonet sobretodo en frutas en contacto. </t>
  </si>
  <si>
    <t>Millor cara del hort, tot I que molts mals de AR en fulla, pero poca defoliació, algun arbres marca falta de aigua  i nutrients especialment al final del hort. Important  revisar reg. Hi ha algo de AR viva. Desmamonar plantons. Llevar arbres i tocons.</t>
  </si>
  <si>
    <t>Hi ha fruta però el calibre es molt reduit. Hi ha mals de AR però no hi ja defoliació  encara, hi ha AR viva. Els plantons van progresant molt bé.  Utilitzar els brasinosteroides la ultima volta crec que ha canviat tot, si que son molt efectius.</t>
  </si>
  <si>
    <t>Crisu 2: Hort prou be, pero dany de araña y tryp ultima brotacio   hia AR..tratar.  Brosa pa fese.  El tratament del sol pareis que si efectiu. Crisu: Te bona cara y color. Moltes taronges. Calibre normal pa la fetxa.  Aplicar KNO3 ya.  AR no molt afectat.  Se hauria de fer per AR</t>
  </si>
  <si>
    <t xml:space="preserve">20-5-10, </t>
  </si>
  <si>
    <t>Nova brota en la plantona, algo de mal de trip I algo de mal de AR però molt poc. Algo de AR viva pero poquet. Se veu fruta. Els ampelts i  els plantons tiren. Indispensable  revisar reg en tot collantes, se veuen fugues i les carabasses segueixen colapsant. Brossa les tires.</t>
  </si>
  <si>
    <t>Maxina ampelts, plantons</t>
  </si>
  <si>
    <t>Hi ha algo de fruta però molt poca. Apenes AR viva pero molts mals, sobretot contra la bruixa i en el hortet. La ampelta avança i brota, hi ha que reampeltar  alguna cosa.</t>
  </si>
  <si>
    <t>Hort recuperat de la AR. Costa topetar araña viva.  En parametros antics no trataria.Brosa controla. Plantons espectaculars.  Teronges mol poques 1000 kg/hg</t>
  </si>
  <si>
    <t>JC, D, C</t>
  </si>
  <si>
    <t>Están  colapsant moltes plantes, algunes pareix perquè hi han fugues  I se enxarca però  altres pareix per falta de aigua estat tot sec. No veig tantes carabasses  respecte a la massa vegetativa. Algunes se queden menudes i se semen. El excés de aigua ja ha podrit algunes. Molt important  revisar el reg.</t>
  </si>
  <si>
    <t>Abonat foliar carabasses</t>
  </si>
  <si>
    <t>Colocat trampes mosca</t>
  </si>
  <si>
    <t>Arrufatino 12, Oronul 20</t>
  </si>
  <si>
    <t>Arrufatino: El hort te molt poca AR viva, es veuen prou mals de AR viva sobretot en fulla, però  la defoliació  ja no és  evident, tot està  rebrotant, el hort  ha canviat completament de cara, se ha refet. És veu algo de fruta. Les tires de les proves de Lyda están  molt millor. Oronules:El hort apenes te AR viva, tot I que els mals son evidents, encara fulles tocades i algo de defoliació, tot I això  està  tot molt molt rebrotat. Arbres sancers que són  tot brots nous. Molta millor cara i brota espectacular. No hi ha fruta. Fa falta desmamonar  ampelts I revisar reg.</t>
  </si>
  <si>
    <t>El hort ha canviat, tot està  brotant amb molt bon color, molts arbres se han ennegrit. Es veu  prou fruta però el calibre molt just. Alguna AR viva però  molt poc, hi han mals de AR en fulles. Hi ha que revisar el reg I desmamonar plantons. Pensar en fer la brossa.</t>
  </si>
  <si>
    <t>Ort 16, Chislett 20</t>
  </si>
  <si>
    <t>Ort: El hort tot i que brota lleugerament encara marca deficiències  de nutrients. No hi ha apenes fruta I alguna fruta te mal de AR I es veu cotonet viu en fruta. Hi ha defoliació  en alguns punts i fulles danyades per AR. AR viva en major presència  que altres llocs. Toca desmamonar I destarugar en motoserra, pintar talls, revisar reg i tal volta reampeltar. Chislett: Tot i que alguns xlo broten, la cara general es roina, poca fulla, zero fruta, mals de AR (no molts), AR viva, marquen falta de nutrients i algo de defoliació. El chislett  está  parat i amb poca fruta. Fa falta desmamonar I destarugar el xlo amb motoserra  i pintar els talls, també  revisar el reg.</t>
  </si>
  <si>
    <t>Idem + Jo veig prou de mal de AR.</t>
  </si>
  <si>
    <t>67 María Rosa, 32 Purple Haze, 40 G2, 75 American Beauty, 99 Halley Comet . Polinizadas con JC 2, Golden y Red.  Se quedan unas 70 flores sin polinizar. 313. Acumuladas  4831. Idem general del hort.</t>
  </si>
  <si>
    <t>Acapolar arbres abandonat</t>
  </si>
  <si>
    <t>Crisu 1 baix: Hi ha una nova brotació  I un color verd més oscur. Es veuen frutes però  el calibre és  molt reduït. Hi ha mals de AR en fulla i en frut. En la tira contra el veí  plantat Hi ha defoliació i més  mal de AR, en alguns casos no está  rebrotant per a compensar la defoliació. Hi ha que revisar el reg I desmamonar. Més  AR viva  que en altres horts. Crisu General: Idem</t>
  </si>
  <si>
    <t>AR controlat. No he topetat ni una araña.  El hort ya ha respost a la eliminacio del chupaors.  Tots els 3 horts bona cara.  Molta brosa. Nadorcot está més verd, se te q Fer la brosa, enredaderas cada vez mas</t>
  </si>
  <si>
    <t>Acapolat arbres del vei</t>
  </si>
  <si>
    <t>JC,C, D</t>
  </si>
  <si>
    <t>1 Costa Rica, 3 Pink, 56 American Beauty, 11 G2, 3 ? , 8 Purple Haze, 28 Halley Comet, 19 María Rosa, Polinizadas con Hibridum. 129. Año pasado 387. Acumuladas 4960. Idem general del hort.</t>
  </si>
  <si>
    <t>J,C, D</t>
  </si>
  <si>
    <t>Replegar abonadores tancar bypas, obrir banca de baix</t>
  </si>
  <si>
    <t>Se ha tragat tot</t>
  </si>
  <si>
    <t>Hort molt bo, bon color, la brotación nova se ha perdut per trip. Se veu fruta, alguna justa de calibre, la fruta se está escomençan a obrir però poc per el moment, casitota la fruta está per dins, poc problema de sol, se veuen colònies de araña i ous però no he vist cap adult.</t>
  </si>
  <si>
    <t>Banca nova</t>
  </si>
  <si>
    <t>El hort està roin però millor de lo q esperaba, Hi ha poca fruta pero se veu algun arbre en fruta, ha millorat de color, hi ha molta brossa, se te q Fer la brosa, hi ha mal de cotonete y cotonete viu pero jo no trataría, Hi ha q controlar els albarsers</t>
  </si>
  <si>
    <t>Segar brossa y eliminar moritos</t>
  </si>
  <si>
    <t>Se veu fruta, alguna amb falta de calibre, el hort te bon color i hi han algunes brotacions  noves, variable de uns arbres a altres. Hi ha algo de mal de AR en fulla. Hi ha presència  de AR viva. Desmamonar ampelts i plantons. Revisar reg. Hara pareis el hort mes ample</t>
  </si>
  <si>
    <t>Els neufina han rebrotat y recuperat fulla. Els hernandinos uns si otros no. Molt de mal de araña. No he vist res de AR. Poca fruta</t>
  </si>
  <si>
    <t>5 Maria Rosa, 1 Red, 17 American, 10 Ge, 2  Purple, 1 ?, 16 Halley , Polinizadas con JC2</t>
  </si>
  <si>
    <t>Repasar ampelts, lligar, aclarir, etc</t>
  </si>
  <si>
    <t>Granja, Nostre, Brossa</t>
  </si>
  <si>
    <t>Orri: Empelta molt be, sols 4 sense brotar. Els plantons orri arranquen y tambe en he aclarit. Color bo. Y ha algun abre que acapolar pero pocs. Clementins: El oronul presenta els mateisos sintomes de trips que el xlo.  Hia que establir estrategia sistematica de control. La empelta esta un poc apara.  El arrufatino no presenta els mateisos mals que oronul.  Els nules que hiant dins de oronul tampoc eixe mal</t>
  </si>
  <si>
    <t>Plantona gigant.  Limpia, sense AR ni MB.  Se veu fruta.  Brosa escomensa, algun frau triturable pero pocs.  Hort vell limpio. Se devia haver tallat. Empelta increible, en 2 añs 20 kgt per abre. Carabases seguisen cuallant,  en eixiran amunto. Estan rebrotan la mortandat ya ha pasat. Els bsjovons van tapan, pero falta color, una abonaeta podria anar be</t>
  </si>
  <si>
    <t>Collir melons</t>
  </si>
  <si>
    <t>T16, XLO</t>
  </si>
  <si>
    <t>Injectat abono</t>
  </si>
  <si>
    <t>12,5 kg KNO3 5 kg Fe, Crisu 1 i 2</t>
  </si>
  <si>
    <t>Reg revisat</t>
  </si>
  <si>
    <t>Crisu 1: Idem + urgent revisar reg i obrir puntes i ficar carxofes. Crisu 2: Idem + obrir les puntes, llevar gomes, ficar carxofes. Crisu 3: Queda sense injectar, vindre amb la injectora. Soles hi ha un punt per injectar.</t>
  </si>
  <si>
    <t>Ort 3kg Fe 5kg KNO3 , Chislett 5kg Fe 10kg KNO3</t>
  </si>
  <si>
    <t>Ort: Ídem + pensar en fer la brossa. Chislett: No acabat vindre esta vespra a preparar ho un altra volta dema a recollir  barril. No havia prou pressio.  Idem. Obrir les puntes de tots els horts i ficar carxofes</t>
  </si>
  <si>
    <t>12,5 kg KNO3 5 kg Fe</t>
  </si>
  <si>
    <t>Bona cara del hort en general, es veu fruta, tot I que alguna te taques del sol o esta rajada pero poca. La ultima brotació  esta reventada per una combinació  de trip I minaor. Color de les fulles general bo, tot I alguna deficiencia. Pensar en replantar faltes. Fa falta desmamonar.Obrir les puntes de tots els horts i ficar carxofes</t>
  </si>
  <si>
    <t>C, JC, D</t>
  </si>
  <si>
    <t>Nou: Hiant a munto lanes.  Moltes sense cotonet.  El hort esta pro limpio pa no estar tratat.  Hia minei pero no pareis molt activa.  Moltes fugues. General: Idem, Molt bona brota, Molt bona segada, Pensar en vallar.</t>
  </si>
  <si>
    <t>Llevar rames lane late i colocar per picar</t>
  </si>
  <si>
    <t>Banca nova, no acabat</t>
  </si>
  <si>
    <t xml:space="preserve">Limpiar flors, plantes, frutes roins,etc. </t>
  </si>
  <si>
    <t>Primera tira, dos costats</t>
  </si>
  <si>
    <t>J, C, D</t>
  </si>
  <si>
    <t>2 Maria Rosa, 1 Tesoro , 1 Halley Comet, 4 American Beauty, 2  G2, 1 Purple Haze, Polinizadas con JC2. Idem general del estat del hort.</t>
  </si>
  <si>
    <t xml:space="preserve">Injectar </t>
  </si>
  <si>
    <t>5kg Fe 12,5kg KNO3</t>
  </si>
  <si>
    <t>Brosa podria fese.  AR, en 20 % fulles dañaes es veuen larves. Plantejar tratar maxim 10 dies. Entrem en risc de mal a fruta Tornar a vore en 4 dies.</t>
  </si>
  <si>
    <t>3kg Fe 10kg KNO3, No acabat</t>
  </si>
  <si>
    <t>AR adulta al menos 1 individuo en cada fulla mira.  Planificar tratament. No se ha acabat de injectar hi ha que tornar amb la injectora. Fer un forat més  gran per poder injectar bé</t>
  </si>
  <si>
    <t>Idem + Larves de AR vives.</t>
  </si>
  <si>
    <t>Ídem + ha acabat de injectar be. Els adults de AR pareixen tots morts, no he vist ous pero si larves vives, mostren mostrejar en un parell de dies encara se sent una forta olor a sofre.</t>
  </si>
  <si>
    <t>Idem + hi ha arbres en els que les fulles danyades tenen zero AR I altres que tenen adults larves i ous tant en fulla com en frut, comença a vores mal en frut.</t>
  </si>
  <si>
    <t>Banca grna: Árboles superbrotados. Se ve una barbaridad de daño de araña, no solo en hojas que todavía faltan muchas por caer, sino también se ve alguna fruta tocada . Hay presencia de araña en hoja pero muy baja. Se tendría que pasar . Apenas se ve fruta, ha caído muchísima.Se puede pensar en ya que hacemos el tratamiento meter algo para la brotación porque es hay mucha brotación. Plantons:Los plantones están espectaculares. Se ven bastante limpios de araña. Han brotado muchísimo y con unas hojas super gordas . Mirar de utilizar el producto de Brasinoesteroides. En todos los sitios . Se tienen que desarugar y dar un poco de forma.</t>
  </si>
  <si>
    <t>Vila roja Nou</t>
  </si>
  <si>
    <t>12-9-0-0-8-249-1/2</t>
  </si>
  <si>
    <t>Secà nou 1</t>
  </si>
  <si>
    <t>12-9-0-0-2-323-1</t>
  </si>
  <si>
    <t>Secà nou 2</t>
  </si>
  <si>
    <t>12-9-0-0-2-324-1</t>
  </si>
  <si>
    <t>Secà nou 3</t>
  </si>
  <si>
    <t>12-9-0-0-2-329-1</t>
  </si>
  <si>
    <t>Injectat</t>
  </si>
  <si>
    <t>3kg Fe 5kg KNO3</t>
  </si>
  <si>
    <t>El hort ha patit molts mals de AR, especialment en fulla amb alguns punts molt afectats amb defoliació.  Es veu cada vegada més fruta. Està  rebrotant. La ampelta  ha tirat moltíssim, les machines de este any han fet la diferència. Hi ha AR viva en fulla I fruta, però  hui pareix que menys que ahir. La brossa esta controlada però pensar a fela a llarg plaç. Revisar també  el reg. Nutricional per a recuperar un poc el hort? Tornar a desmamonar</t>
  </si>
  <si>
    <t>4kg Fe 12,5kg KNO3</t>
  </si>
  <si>
    <t>El hort ha patit molt ×3 de mal de AR, defoliació i fulles tocades. Encara és  pot trobar AR viva en fulla  algun adult però  sobretot larves. Per lo general està  rebotant  però  no és  uniforme. Pensar en un nutricional. Es veu algo de fruta però poca. Se podría  fer la brossa. Repasar ampelta I desmamonar. Pero sobretot revisar reg, la goma que porta aigua al hort està  completament  doblada, hi ha pressió al hort?</t>
  </si>
  <si>
    <t>3kg Fe 10kg KNO3, Banca fondo</t>
  </si>
  <si>
    <t>Reg repasat</t>
  </si>
  <si>
    <t>Plantona: Te una pinta espectacular, oscur de color, noves brotacions (afectades per trip), es veu prou fruta I per lo general de bon calibre. Fa falta revisar el reg, i segar algun frau, fer la brossa de les tires en un temps. Molt poc de mal de AR, en alguna fulla afecta es veu alguna larva. Banca gran més mal de AR i alguna larva viva mes. En la banca gran hi han  gomes punxades encara. Les tomes també hi ha que revisarles que fan aigua. Fa falta goma en una tira també. Hi ha que obrir les puntes i ficar  carxofes a tots el horts</t>
  </si>
  <si>
    <t>Banca gran, no acabat</t>
  </si>
  <si>
    <t>8kg Fe 15kg KNO3, Banca gran+ vell</t>
  </si>
  <si>
    <t>2kg Fe 6kg KNO3, Nadorcott</t>
  </si>
  <si>
    <t>5kg Fe 12,5kg KNO3, Taronges</t>
  </si>
  <si>
    <t>Nadorcott: Bona  cara, prou fruta, falla un poc el calibre, alguns fulles marquen deficiències nutricionals, algo de AR però molt poca igual que molt pocs mals. Obrir les puntes i ficar carxofes. Taronges: Arbres en bona cara, sorprenentment no marquen sed, poca fruta. Fa falta desmamonar  I revisar el reg molt important, però  vindre amb goma per a ficarla. Obrir les carxofes. Es veuen sintomes de falta de nutrients  i de acar de Texas però no trobe acar viu. Hi hauria que fer la brossa  també.</t>
  </si>
  <si>
    <t>Segona tira, dos costats</t>
  </si>
  <si>
    <t>No masa mal de AR.. costa encontrsr araña viva.  Brosa pa fese. molta brosa resisten. Cañar pa fese</t>
  </si>
  <si>
    <t>Acabat, hípica</t>
  </si>
  <si>
    <t>Poc de mal de AR. No hia AR. Teronges poques. Brosa pa fese.  Plantons se han de repasar mamons de baix creiximent abotjat.</t>
  </si>
  <si>
    <t>Patos: Ha tenido muchos daños de araña roja , el tratamiento ha funcionado bien casi todos los adultos de araña roja están muertos. Se ven muy pocos y se ve alguna colonia . (tratar dentro de siete días?) Se ve alguna terroncha . Hay muchísimas araujas y muchísima hierba solucionar para la semana que viene. Orri: El hort hui no es veu millor. Se veu AR en alguns llocs.</t>
  </si>
  <si>
    <t>1kg/hg KNO3, Museros, Brossa i Nostre</t>
  </si>
  <si>
    <t>Empelts se veuen molt be. Hia que ficar polvo formiga. Reempeltat 3 fallos y 2 abres mes. (17 empelts)</t>
  </si>
  <si>
    <t>Ampeltar, Repasar i lligar ampelts</t>
  </si>
  <si>
    <t>Abonat</t>
  </si>
  <si>
    <t>575 Kg SO4NH4</t>
  </si>
  <si>
    <t>Molta brosa. Despues de picat hiant 25-30 cm de palla. Les tires brosa de 60 cm es urgent fer brosa. Hort mol bona trasa. No ha perdut fulla y escomensa a tindre vuelo. Color be</t>
  </si>
  <si>
    <t>Empeltar 8 abres mes (40 empelts)  pintar blanc hasta final pintura. Repasar rebrots macrophila</t>
  </si>
  <si>
    <t>Ampeltar, Pintar, Repasat rebrots</t>
  </si>
  <si>
    <t>Injectar</t>
  </si>
  <si>
    <t>15Kg Fe</t>
  </si>
  <si>
    <t>Llevar tarujos arreglar creuera</t>
  </si>
  <si>
    <t>Arreglat goteo</t>
  </si>
  <si>
    <t>Hia que pintar talls plantona.  Empeltar 8 o 10 bordets (enguany pa aprofitar cuidao plantona). En la basa fuga tuberia del 20.  Hia que arreglalo pasan a amplir de la tira recta pa que no heu chafe tractor.  Ficar tubo del 16</t>
  </si>
  <si>
    <t>Banca nova, acabat</t>
  </si>
  <si>
    <t>Hort en general amb molt bona cara, la nova brotació està sana. Es veuen prou frutes, però hi ha prou taronges tocades de cotonet, hi ha cotonet viu. Molt important revisar reg, pensar en fer la brossa de les tires. Algo de mal de AR, AR viva en forma de larves en alguns arbres.</t>
  </si>
  <si>
    <t>Preparar llenya per picar</t>
  </si>
  <si>
    <t>Llevar rafia</t>
  </si>
  <si>
    <t>Hort en millor cara però encara es veu mals de AR i AR viva en forma de larves. Es veu algo de fruta. La ampelta va tirant, tot i que la reampelta te prou fallos. La brossa se està morint. Fa falta revisar el reg i pintar els arbres.</t>
  </si>
  <si>
    <t>El hort està espectacular. La banca Vella te AR viva en fruta i en fulla, prioritzar tractar ací, algo de mal de AR i en la plantona AR viva pero poca, en algún arbre. Es veu molta fruta i una brota nova en alguns arbres. En la plantona fa falta revisar el reg. Les carabasses segueixen colapsant, cada dia menys carabasses i més brossa.</t>
  </si>
  <si>
    <t>Alguns ampelts de ahir ja estan marrons, te molt mala pinta, no se pot ampletar en tanta calor</t>
  </si>
  <si>
    <t>Pintar</t>
  </si>
  <si>
    <t>La nadorcot tiene buena pinta y buen calibre, pero la media tira contra el vecino está llena de mosca y llena de cotonet vivo . Hay que hablar con él y cerrar su tira de naranjos muerta. Las valencias tienen bastante buena pinta. Se les ve buen calibre y no se ve mucho problema de cotonet. No se ve mucha incidencia de plaga de ningún tipo pero se tiene que desmamonar ay mamones que ya son duros</t>
  </si>
  <si>
    <t xml:space="preserve">C </t>
  </si>
  <si>
    <t>El hort te bona cara, ha hagut una última brotació, un poc tocada per el minador. Es veuen prou frutes. Augmenta la població  de MB, sobre tot en les tires contra els veïns. Hi ha que vindre a revisar les carxofes/obrir puntes. La pressió  que me han donat era baixeta. Algun punt amb brossa, plantejar fer-ho. Algunes fulles marquen  deficiències  sobretot en els orris.</t>
  </si>
  <si>
    <t>1kg Fe 3kg KNO3</t>
  </si>
  <si>
    <t>Hort segat.  La brosa en les tires perfecta (la nova mescla funciona).  Res  de AR. Res de mal de AR.  Fruta en mol bona trasa. Sintomes de deficiencia de N.</t>
  </si>
  <si>
    <t>Segat. Tires de brosa perfecte.  No he vist MB ni texas.  Els valencies tenen alguna fruta.  En els powel poques pero tambe alguna.  Hia que acapolar doques per facilitar el pas.</t>
  </si>
  <si>
    <t>Hort esta millorant.  La AR pareis que remitisca. Se ha de seguir no pareis urgir tratamen. Brosa pica frau. En tires no mes hia arrocillo y esta acaban ciclo, no cal tratar brosa. Se veu bastan teronja.</t>
  </si>
  <si>
    <t>Hort en cara regular i tira contra el veí que te taronges danys crítics de AR. AR viva en tots els estadios per tot el hort. Tot i que se ha revisat el reg, revisar les carxofes i pareix com que alguns emisors estan un poc bloquejats per alges? Hi ha algo de fruta en el hort. Mateix problema de xarcos per compactacio. Algun arbre mostra  sintomes de falta de nutrients. Ha brotat algo pero molt poc. Poca pressió  hui i araujes pel hort. Pensar en fer la brossa també</t>
  </si>
  <si>
    <t>2kg Fe 6kg KNO3</t>
  </si>
  <si>
    <t>No se ha regat I juan sequeix picant. Els arbres tenen bona cara. La unica brossa que queda es la de les tires I quasi en la totalitat es arrocillo. Tractar brossa?</t>
  </si>
  <si>
    <t>Hort en bona cara. Es veu fruta. Les fuges han sigut totes revisades però  hi ja que tornar a revisar tot, tramos que falta goma que ha sigut triturada. Algo de MB començant a volar. El esbarzer  ha tornat, tenim que eliminar-lo. Reduir la massa vegetativa del abandonat del veí. Acapolar un arbre mig mort.</t>
  </si>
  <si>
    <t>Tercera tira, dos costats</t>
  </si>
  <si>
    <t>Sangrar, despuntar, desmamonar, llevar rafia</t>
  </si>
  <si>
    <t>Arreglar llenya per picar</t>
  </si>
  <si>
    <t>Oronul: El hort ha rebrotat completament, ha recuperat molta fulla, és  veu algo de fruta en els clemenules, oronules vuit. Hi ha encara defoliació I fulles en mal de AR. Encara hi ha AR viva. Les noves brotacions dels empelts i dels arbres tenen mals de trip. Fa falta lligar empelts i maxina, reampeltar. Obrir puntes  de reg, ficar carxofes. Orri fondo: Acapolat 10 abres de orris. Ficat neña pa triturar en els fraus. Desmamonat plantons. Quedarant uns 10 abres mes en mala trasa.  El resto de molt bona cara. Terongers plens y tetongers buits. No hia molta MB.  Se veuen taques de AR.</t>
  </si>
  <si>
    <t>Acapolar arbres semats, preparar per picar i repasar ampelts</t>
  </si>
  <si>
    <t>6 Hundatus, 2 Golden, 1 Maria Rosa, 2 Red, 1 Costa Rica, Polinizadas con Hibridum y JC1.  12. Año pasado 7</t>
  </si>
  <si>
    <t>1 American Beaut, 1 Blanca Semilla, Polinizadas con Hibridum. Las Jindu y las Guihonglong (o como se llame) que compramos en el vivero de Puzol por fin tienen botones florales. Una Jindu incluso tiene una fruta que aún es pequeña y que no se polinizó en su dia. Veremos que calibre hace.</t>
  </si>
  <si>
    <t>2 American Beauty, 1 Purple Haze, 1 Halley conet, Polinizadas con JC1. Año pasado 180</t>
  </si>
  <si>
    <t>2 María Rosa, 1 American, Polinizadas con JC1. ACUMULADAS 5026.</t>
  </si>
  <si>
    <t>Cuarta tira, no acabat</t>
  </si>
  <si>
    <t>3 Maria Rosa , 1 Halley Comet . No polinizo por falta de Polinizadores.</t>
  </si>
  <si>
    <t>4 Maria Rosa, 1 Halley Comet, 2 Costa Rica, 1 Red, Polinizadas con Museros. 8. Año pasado 36</t>
  </si>
  <si>
    <t>Hort en general amb bona cara, hi ha una nova brotació  en alguns arbres. Hi han mals de AR en fulla però  no arriva a la defoliació. Hi ha AR viva, pero poca, en forma de larves i en fulla, en frut no he trovat. La situació del reg és  roin, algunes gomes se foraden com si fora perdigons i unes altres tenen alges+calç afectant als emisors. Fa falta revisar puntes i carxofes, tal volta canviar goma. Zones compactades fan xarco. La pressió  hui és  molt bona</t>
  </si>
  <si>
    <t>Revisar reg</t>
  </si>
  <si>
    <t>7,5 kg KNO3 5 kg Fe, Crisu 3</t>
  </si>
  <si>
    <t>Crisu 3, Crisu 1-No acabat</t>
  </si>
  <si>
    <t>En general  els plantosn de tot el crisu van tirant molt bé. La plantona del crisu 2 te mala cara, no acaba de tirar, molt de mal de trip. Hi ha AR viva en poca quantitat  en totes les parcel·les, majoritàriament  larves, no he vist en fruta. El rev presenta els mateixos problemes, com que se está  foradant, també  emisors amb alges i calç. Hi ha una nova brotació  bona sobretot al crisu 1 on també  es veu algo de fruta. Revisar carxofes i puntes.</t>
  </si>
  <si>
    <t>Picat</t>
  </si>
  <si>
    <t>Hort bon color y se veu fruta. Els plantons tenen mol bon desarrollo. Se haurien de desmamonar y organizar pa empeltar. Els plantons tenen teronges, hia que pensar en tirales</t>
  </si>
  <si>
    <t>Ya esta tot regat. El hort va fen cami</t>
  </si>
  <si>
    <t>T17</t>
  </si>
  <si>
    <t>Hípica: Esta ben regat no se ha deixat res. El hort esta milloran de cara y ficanse bo. De veu prou teronja. No veu AR ni MB. Els mals de AR van a menos.  Els plantons se havien de desmamonar y organizar un poc.  La broda va a mort natural, yo no la faria. Balcó: En Balco, el aigua esta al tall, de moment no se ha regat.  Bastan brosa, pero se esta secan, no fer herbicida.  Se veu bastan teronja.  Vigilar AR, de momen poblacio baixa</t>
  </si>
  <si>
    <t>Acapolats abres roins y preparats pa triturar</t>
  </si>
  <si>
    <t>1 Hundatus, 1 Marmel, 3 Golden, 2 Pink, 3 Red, 1 Yellow, 3 White, 2 Blanca Semilla, 1 American Beauty, 1 Halley Comet, Polinizadas con JC1. 18.Año pasado 0</t>
  </si>
  <si>
    <t>Idem.  La brosa esta pa fese. Comença a haver MB.</t>
  </si>
  <si>
    <t>Lligat, desmamonat, despuntat</t>
  </si>
  <si>
    <t>Seguiment AR.  Veuen algunes taques en fulla, pero no he topetat ningun adult, ni ninguna larva.  El nivell de defoliacio, salvo en vores es tolerable.  Hia que acapolar rebrotisos pomera y kaki.  La brosa esta pa pasase. El hort esta molt ple de teronges, y bones</t>
  </si>
  <si>
    <t>Banca fondo, Oronul, Arrufatino</t>
  </si>
  <si>
    <t>Idem + prou mal picat</t>
  </si>
  <si>
    <t>Idem. Els nostres horts estàn millor que la resta. Podria ficar-se les rames al frau I picarse tambe.</t>
  </si>
  <si>
    <t>Idem. Marca algo de sed. Algun punt la pica un poc pobra. Tots els nostres horts en general tot i no estar perfectes, Tenen uns tonos més  verds que el resto, pareix  que tinguen més  fruta I més  brotacions noves.</t>
  </si>
  <si>
    <t>Idem. El hort no remonta, no trobe molta AR  però  els arbres no rebroten i se queden en mala cara. Els ampelts necessitem maxina però ja, minador i trip donant-los canya. Fadrell podria alimiarse la llenya i picar tambe</t>
  </si>
  <si>
    <t>No AR. Mal per trips. Alguna fruta daña pel sol.  Se veu alguna brota nova. Valorar si la intentem protegir.  Algo pronte per gastar exirel y fer tambe mediterranea. Color bo. Alguna brosa pero poca.</t>
  </si>
  <si>
    <t>Tratament AR molt efectiu. No se topeta ninguna ni adult ni larva. Els abres de han quedat en prou fulla per poder fer teronges el proxim any.  La fruta se veu sense masa taques de araña, fruta bona.  Hia mitja cullita, els alba son masa groses.  Els plantons estan molt be, els citrumelos van molt be, tots se devien repasar de alicata. Brosa esta controla, el tratament actual funciona, sols se ha escapat algun blet.</t>
  </si>
  <si>
    <t>9 Maria Rosa, 9 Golden , 1 Blanca Semilla, 2 American Beauty, 2 Halley Comet, Polinizadas con mezcla Blanca Semilla y Golden. 23. Año pasado 36</t>
  </si>
  <si>
    <t>Idem, fa falta revisar reg hi han fuges, reampeltar, maxina ampelts trip + MB, he vist AR viva pero poca en lo vell. AR: Colonia amb tot, Pero no es veia mobilitat clara</t>
  </si>
  <si>
    <t>El hort està tractat, era un dels Horts que havia escapat  de la AR, però ja no, masacre contra  la veïna. Encara es veu AR I cotonet viu. Pensar en fer un foliar per recuperar-lo. Reampeltar i desangrar. Revisar reg.</t>
  </si>
  <si>
    <t>Regat perfecte,  el aigua ha arribat a la punta. La brosa esta gran pero la majoria es arrocillo y se esta secan.  De moment no fer.  Nivell de araña baix control</t>
  </si>
  <si>
    <t>Balcó</t>
  </si>
  <si>
    <t>Tot i que ha patit molt de mal de AR, el hort se està  refent la nova brotació és  molt bona. Cuidar-la  i tal volta extra de nutricional. Fa falta fer la brossa. Revisar puntes i carxofes i pressió  normal.</t>
  </si>
  <si>
    <t>Se veu alguna teronja molt grosa.  Esta prou limpio de mosca y texas. Brosa urgis fela, pero nivell tolerable, fense hara se controlara be.  Cuant se fatja se te que tindre en conter fer 3 metros malea.  Cuant vatja picaora picar eixos 3 metros.  Aixina cuant fatja turbo se pot fer vora</t>
  </si>
  <si>
    <t>Els arbres vells en estats molt variables, desde bon estat i brotats fins a defoliats, amb mals de AR. Hi ha algo de AR en forma de larves. La ampelta va tirant molt, es podria sangrat i reampeltar. Brossa morta. Revisar reg. Curt de collita.</t>
  </si>
  <si>
    <t>Repasats i parats plantons</t>
  </si>
  <si>
    <t>Hort cremat de trip y araña. No mol bona cara.  Hia algo de AR, se ha de tratar no mes se puga. Brosa controla.</t>
  </si>
  <si>
    <t>5 Maria Rosa, 2 Golden, 4 American Beauty, 4 Halley Comet, 1 Tesoro. Polinizadas con Hibridum. 16. Año pasado 185.</t>
  </si>
  <si>
    <t>27 Hundatus. 13 Maria Rosa. 30 Museros. 4 Golden. 1  Costa Rica. 7 Red. 4 White. 24 Yellow. 1 American Beaury. 2 Purple Haze. 5 Halley Comet. Polinizadas con
Mezcla JC1 e Hibridum. 118. Año pasado no hay datos.</t>
  </si>
  <si>
    <t>Resta</t>
  </si>
  <si>
    <t>Plantona espectacular, cada dia mes grand. Color y fulla incrible. Neufines masa calibre, pero molta cullita, abres que tindran hasta 50 kgr.  No veig AR ni MB.
Hort vell en moltisima fruta, justa de calibre. No veig AR ni MB.  Se hauria de reabonar pa vore si al any que ve podem fer teronges</t>
  </si>
  <si>
    <t>Nadorcott, be. Esta volen brotar. Vigilar y posible pase foliar. La brosa se ha secat, y se veuen molt be les marujes se debia pasejar y arrancales.</t>
  </si>
  <si>
    <t>Orri darrere granja.  Una vega picats els abres roins, el hort pareis cambiar, i es veu molt be. Inclos se veuen prou teronges.  No veu nivell de MB pa tratar.  No hia TeX. El cotoner pareis que el cryptolemus s el ha menjat.</t>
  </si>
  <si>
    <t>100 Kg SO4NH4</t>
  </si>
  <si>
    <t>450 Kg SO4NH4</t>
  </si>
  <si>
    <t>600 Kg SO4NH4, Hípica</t>
  </si>
  <si>
    <t>75 Kg SO4NH4, Balcó</t>
  </si>
  <si>
    <t>350 Kg SO4NH4</t>
  </si>
  <si>
    <t>4 Maria Rosa, 23 Halley Comet, 5 American Beauty, 4 Yellow, 2 Pink, 30 White, 12 Red, 31 Blanca Semilla, 87 Museros, 44 Golden, 214 Hundatus. 456. ACUMULADAS 5688. Polinuzadas con mezcla Hibridum y Blanca Semiĺla. 204 Hundatus Polinizadas con Hibridum. 4 Guihonlong autopilinizadas, 1 Jindu autopolinizada</t>
  </si>
  <si>
    <t>167Hundatus, 17 Maria Rosa, 66 Golden, 1 Yellow, 1 Pink, 3 White, 40 Blanca Semilla, 12 Museros, 1 ?, 1 Purple Haze, 1 G2, 1 American Beauty, 20 Halley Comet. Polinizadas con Golden y Blanca Semilla. 1 Guihonlong y 1 Jindu autopolinizadas. 333. ACUMULADAS 6021</t>
  </si>
  <si>
    <t>T18</t>
  </si>
  <si>
    <t>Orri:  Es veuen més frutes, els horts tenen una lleugera brotació  nova bona, color prou verd. Encara alguns sintomes  de falta de nutrients. Molt important  revisat el reg, moltes fuges i xarcos. Ben picat. Hi ha goma triturada, vindre a ficar goma. Clementins: La nova brotació sobretot del oronul está  maxacada per el trip I el minador.També  hi ha goma reventada. Algo de AR en forma de larves.</t>
  </si>
  <si>
    <t>El hort te bona cara, és  veu fruta, tindrem  collita. El hort es veu verd i algo brotat, falta també  algun tonet de verd. Algo de AR i AR viva però  molt poca. La brossa de les tires I el frau bé.</t>
  </si>
  <si>
    <t>Rafia ampelts tallada</t>
  </si>
  <si>
    <t>Empelts casi tots agarrats, y en bona trasa. Algun fallo per ficar tots els ulls y hort molt carregat, pero 4 o 5 sols.  En hort veu algun texas, menos de 2 per fulla, se ha de seguir y preparats per intervindre.  Brosa poca pero se podria fer, sobre tot per l empelta</t>
  </si>
  <si>
    <t>Acaba demà</t>
  </si>
  <si>
    <t>Dema se regara.  El hort te el color trencat, falta brillo y verdor.  Se veu alguna teronja, molt poques.  Escomenza vores slgun texas.  MB poca.</t>
  </si>
  <si>
    <t>T18 (Sense proteina Harpin)</t>
  </si>
  <si>
    <t>El hort va avançant, la nova brotació  està  sana. Hi ha mal de AR I colònies de AR viva, tractar? Poca fruta, se ha perdut molta. Fer la brossa si o si. No és  veuen fugues pero repasar reg.</t>
  </si>
  <si>
    <t>T18 (Sense Proteina harpin)</t>
  </si>
  <si>
    <t>El hort no te mala cara, poca nova brotació I com si li faltarà  algo de aigua, revisar reg. Mal de AR contra el veí plantat, en fulla  i frut, poca AR viva tota contra el veí  plantat. Es veu algo de fruta. Acapolar rebrots frutals. Fer la brossa.</t>
  </si>
  <si>
    <t>Se ve algo de fruta . Algo de araña viva se ve algún adulto . Mucha presencia enredaderas . La hierba se tiene que hacer urgentemente . Decidir si se vuelve a tratar o no. Se ve más araña que en otro sitio . Algo de presencia de araña y de daño en fruta .</t>
  </si>
  <si>
    <t>T18 (Sense Prot. / Brassinosteroides)</t>
  </si>
  <si>
    <t>Aclarit</t>
  </si>
  <si>
    <t>Bagu</t>
  </si>
  <si>
    <t>No veu ninguna fulla ni fruta afecta de AR.  No hia res de AR.  Brosa esta pa fese. Plantons tendrien que desmamonase. Soques en rebrots de macrophila, urgis eliminalos.</t>
  </si>
  <si>
    <t>Ficar més gomes</t>
  </si>
  <si>
    <t>Hort en general bona cara, nova brotació  espectacular però  tot marca sed. Fruta segueix caient per falta de aigua. Encara hi ha presència de AR viva i mals de AR en fulla més  vella. Ja no és  veu defoliació.</t>
  </si>
  <si>
    <t>124 Maria Rosa. 97 Halley Comet. 9 American Beauty. 17 G2/Purple Haze. Polinizadas con Hundarus. Unas 50 flores de las variedades blancas no polinizadas por falta de polen viable para ellas. 247. ACUMULAES   6268.</t>
  </si>
  <si>
    <t>T18 (Sense Prot/Brasin)</t>
  </si>
  <si>
    <t>Hort en bona cara, tot I que falten uns tonos de verd.  Es veu collita. Molt important  revisar el reg, falta goma que se ha triturat. Alguns arbres amb puntes danyades per AR. No veig MB ni Texas.</t>
  </si>
  <si>
    <t>Nadorcott: Pareix que els arbres tenen uns tonos més  de verd, però  no broten, la mala cara continúa, pareix que hi ha algo de collita, però  molts arbres amb una cara pésima. Hi ha que revisar el reg i  llevar araujes. Fulles grojes i amb danys de AR, he vist AR viva pero no MB o Texas. Clementins: El hort te millor cara que el nadorcott, está  brotat, es veu fruta. Hi ha mals de AR i  AR viva pero poca. Alguns fulles marquen  falta de nutrients. Els fraus es podrien segar. Revisar reg</t>
  </si>
  <si>
    <t>Molta brosa en la tira, s en esta anan de mare.  El frau esta altra vega per a fese. AR res, ni taques ni presencia. Hort molt bon color y en mes volumen, any que ve cabas per abre.  Fer nutricional y pal minaor.  Se ha de repasar empelta</t>
  </si>
  <si>
    <t>Brotacio espectacular, fulles formaes y sense mal de tryps ni minaor. El hort esta completament recuperat.  No te señals de AR, ni fulles en señals.
Convendria foliar en micros per acabar de formar abres. Brosa frau pa fese. Les tires no mes tenen arrocillo. Repensar en tratar</t>
  </si>
  <si>
    <t>Encara no se ha regat. No señals de AR, pero he vist 1 araña. No esta pa tratar. Bon color y moltes teronges bones</t>
  </si>
  <si>
    <t>Air se han aclarit les frutes cremaes. No hia mal de araña, pero en he vist alguna-&gt;tratemo.</t>
  </si>
  <si>
    <t>Sols he trobat 1 AR adult. Hian fulles en sintomes, no te sentit tratar-&gt; mirar mes avant.  Se veu prou fruta y va guañan calibre, la cullita pot eixir be.  No veu MB ni AT.  Se ha de desmamonar teronges adults pero tambe tots els plantonets de forma urgent, hia molt de mamo de la soca</t>
  </si>
  <si>
    <t>El hort te bona cara, tot I que marca algo de falta de nutrients  I mals de AR. He vist algo de AR però poc. Molt urgent  revisar reg, la última  tira al final pareix que No rega, els arbres se están  morint. Es veu algo de fruta. Apareixen araujes en tots els horts. Hi ha que desmamonar els plantons</t>
  </si>
  <si>
    <t>Alguns arbres han millorat molt de color i están  brotant, alguns altres estant com parats, com secs. La empelta va molt be tot i aixo alguns ampelts lligats se han trencat. Revisar ampelta I revisar reg. A finals de la setmana  que ve tornar a desmamonar  I lligar. Algo de fruta. Molts mals de AR I un poc de AR viva</t>
  </si>
  <si>
    <t>T18 (Sense Prot. / Brassin), No acabat</t>
  </si>
  <si>
    <t>Mala cara general del hort, els arbres tenen mal de AR, algo de AR viva, moltes fulles segueix marcant falta de nutrients. Revisar el reg I fer la brossa de les tires. Tant els plantons como els arbres brotacions afectades de trip/minador. Hi ha que tornar a desmamonar i destarugar amb motoserra, per a després pintar talls. Banca chislett Igual, ademes  araujes i els arbres están  en un estat  molt més  critic. No es un problema de aigua ni de plagues  es un problema en la varietat o en la combinació  amb els patrons, madera intermitja etc. Els mamons i els plantons nous están sanisims.</t>
  </si>
  <si>
    <t>El hort en general igual que sempre va fent camí.  Les carabasses  segueixen colapsant, cada dia més  brossa.</t>
  </si>
  <si>
    <t>147 María Rosa, 109 Halley Comet Americana, 47 G2/Purple Haze, 22 American Beauty, 17 Halley Comet, Polinizadas con mezcla Hundatus, Hibridum, Golden y Blanca semilla. 332. Año pasado 33. ACUMULAES 6600.</t>
  </si>
  <si>
    <t>Hui hi haurien unes 20 flors. No polinisaes per ploguda.  Llastima 7 eren maria rosa costa riu. En les red se veu inici cambi color, dema o domenge de mati pa cullir. Esta iniciance una nova olea de botons florals oer totes les varietats.</t>
  </si>
  <si>
    <t>COMETA  22, AB    9, Maria rosa 10, G2   5, Jc2  1, Pilinizadas con hibridum. Total 47. ACUMULADO 6647.</t>
  </si>
  <si>
    <t>AB   4. CH   7. Red  6. Marmel 1. Golden 1. POLINIZADAS HIBRIDUM. H unes 50, no polinizaes. 7 cajas agropons y 10 peces per borriana. Li he ficat 5 rotges 2 grogues y 3 blanques. Total 19. ACUMULAT  6679.</t>
  </si>
  <si>
    <t>Desmamonat i parat plantons</t>
  </si>
  <si>
    <t>Vila rotja nou</t>
  </si>
  <si>
    <t>Repasar fuges i puntes limpies</t>
  </si>
  <si>
    <t>Vell: Idem. Nou: Arriba aigua a tot.  De mitan cap a dalt hiant 6 tires, baix nomes 5.</t>
  </si>
  <si>
    <t>Brosa molt maja, no deñala encara tratamen.  Araña morta, el mal en les xones del tractor controlat. Vores no tant be.  Se veu alguna teronja.  Hia fallo de reg, se ha de revisar urgentmen, tira mar y mitja anterior señalen sed.</t>
  </si>
  <si>
    <t>Revisat i desmamonat</t>
  </si>
  <si>
    <t>En chislet hia algo de texas. Ficar en la llista pa tratar.. els empelts tenen tota la brotacio socarra de tryps.</t>
  </si>
  <si>
    <t>Hort bona trasa, hiant a munto valencies y manderines. Hia bona cullita. Algo de MB y de Texas.  Ficar llista sense presa.</t>
  </si>
  <si>
    <t>Empeletat, soques pintaes</t>
  </si>
  <si>
    <t>5 arbres</t>
  </si>
  <si>
    <t>Araujes arrancades</t>
  </si>
  <si>
    <t>Hort en color y be de fruta.  Plantons de enguany brotats y molt be.  No mal de AR, per se ha de tratar</t>
  </si>
  <si>
    <t>Goteo repasat</t>
  </si>
  <si>
    <t>Rega tot, les claus de les valvules de neteja  fan aigua.  El hort esta casi venut.</t>
  </si>
  <si>
    <t>Tapat puntes obertes</t>
  </si>
  <si>
    <t>XLO arruinat per araña y tryps. Se te que polvorizar mes, es una varietat cara y se te que cuidar, desmamonar, sobreabonar....cuidalo. Lane esta ple de araña, texas y araujes.</t>
  </si>
  <si>
    <t>Repasat tot el reg, fuges ficat tramos que falten</t>
  </si>
  <si>
    <t>Secà</t>
  </si>
  <si>
    <t>Limpio de brosa, empelts tocats de tryps.  Oronuls cremats.  Arrufatino sense masa mal de AR, se veuen prou y bones teronges.  Orri cada dia millor y mes teronges, aunque mal de cotonet.</t>
  </si>
  <si>
    <t xml:space="preserve"> Reg repasat y araujes arrancaes</t>
  </si>
  <si>
    <t>Banca dalt</t>
  </si>
  <si>
    <t>Banca baix, no acabat</t>
  </si>
  <si>
    <t>Hort va millorant y esta tot brotant. Hia que arreglar fugues y acabar araujes.  Hia una auruja lleva del abre banca de dalt que hia que retirar carchofes.  En banca de baix hiant 3, dos ya baixaes y una a mitat baixar. Ademes una soca de arauja que hia que llevar en aisa.  Se veuen prou terongetes, al millor les mateises any pasat. Banca baix: fugues eixida terciaria y un altra en la aixeta.  Araujes repasaes menos les 2 vores.</t>
  </si>
  <si>
    <t>Plantona ha brotat de nou en una semana brots de 40 cm. Espectacular. La polvoriza el oli pareis que hatja controlat el trip.   Se podria seguir per si tornalo ha pasar pa completar brotacio.  Calibre neufines no se si seran comercials, se pasen.
En hort vell moltes teronjes, els que no tan plens ya veu millora de calibre.
Empelta pa dedpuntar de nou</t>
  </si>
  <si>
    <t>Algo de fruta . No se ve araña roja . Muchos daños de araña roja . Se ve algún árbol con mucha fruta con incidencia de cotonet . Lo mejor habría que tirar la fruta al suelo . Se tienen que hacer la hierba de las tiras . Revisar fugas y revisar si el huerto del vecino cuando riega se sosiega la parte final de nuestro huerto .</t>
  </si>
  <si>
    <t>AB   3. CH   3. G2   4. MR   3. POLINIZADAS HIBRIDUM. H unes 20, no polinizaes. Total....13. ACUML  6660. Se veu caragola en el cap de baix, pensar en fer algo. Molta fruta pa maurar esta semana</t>
  </si>
  <si>
    <t>Deflorat</t>
  </si>
  <si>
    <t>tot menos tira hundatus y files noves</t>
  </si>
  <si>
    <t xml:space="preserve">Brosa esta polvoriza y escomensa a señalar. No ve AR, no mal de AR. Color empelta oscur y en bastant fulla, escomensa a marchar, yo no tocaria ya la emoelta heu fsria en primavera. </t>
  </si>
  <si>
    <t>Plantonada toda brotada otra vez. Las puntas se ven afectadas de trip, pero aún así ha brotado mucho . Bastante fruta y con mucho calibre . He visto que faltan 20 m de goma en una tira de la bancada del fondo . Se tiene que desmoanar todo urgentemente. Mucha faena de desmodonar. Las calabazas tienen muy mala cara. Muchas calabazas se están quedando pálidas y las plantas están muriendo. No sé si recogeremos nada. Tubería falta 12 metros 3 tira de banca fondo.</t>
  </si>
  <si>
    <t>AR poc de mal.  No veu mal en fruta. Se veu molta fruta. Nivell de AR cero, no topeta ni una. Empelta mol be, no sintomes de cap plaga, ni trips, ni AR ni MA ni pulgo. Algun ampelt esgallat, res fora de lo esperable. Hia que rebaixar lo ultim empeltat.  Es urgen cambiar gomes, la banca clemenules que no te fuhues recibis mol poca aigua</t>
  </si>
  <si>
    <t>Patos, T19</t>
  </si>
  <si>
    <t>Balcó, T19</t>
  </si>
  <si>
    <t>Nou, T19</t>
  </si>
  <si>
    <t>Color y fulla molt bo.  Mitja cullita en molt bon calibre y sense mal de araña.  Hort sense mal de araña.  Dins no veu jens de AR. Vora carretera hia AR, no se havia fet o la pols de la carretera.  Segurament altra vora tambe AR.  No hia MB ni trips, ni Texas.</t>
  </si>
  <si>
    <t>Algo de araña roja viva . El día que se haga matella también se hace montañeta . Hay que arreglar la fuga de la entrada de agua a la Bassa. Está abierta y toda la calle está encharcada . Se ve algo de fruta pero queda muy poca . Los árboles tienen mala cara y todas las hojas están arrolladas. Incluso los árboles que están cerca de la fuga que está encharcada a . Puede ser que no sea agua, pero no sé lo que puede ser . Los plantones. También han desarrollado un montón y tienen hojas muy grandes, pero están todas hacia abajo. Muchos daños de trip en los plantones. Los plantones no tienen araña roja</t>
  </si>
  <si>
    <t>Empelta en marcha. AR poc de mal, pero veuen alguns individuos hia que tratar.</t>
  </si>
  <si>
    <t>Balcó: El arroset se refa, se devia de fer la brosa.  Les cañes tambe san de fer. El hort esta prou refet. AR esta trata. Hípica: Arroset se ha refet hia que fer brosa.  Se ha de triturar les cañes indies. Hort en bona trasa. Veu alguna AR, per bais de umbral, pero se ha de decidir que fer.</t>
  </si>
  <si>
    <t>Idem, repasar riego lo antes posible , se ha repasado algo, pero falta un trozo de tubería en la tercera tira de la banca chicoteta y en las dos.</t>
  </si>
  <si>
    <t>Desmamonat plantons</t>
  </si>
  <si>
    <t>Marmel 12. Jc2          2. Red          5. White      1. Ab           5. Ch           4. 29. polinizadas con hibridum. (posiblement més)</t>
  </si>
  <si>
    <t>T20, Mal fet, No acabat, crisu 2</t>
  </si>
  <si>
    <t>T20, Mal fet</t>
  </si>
  <si>
    <t>T20, acabat, crisu 2</t>
  </si>
  <si>
    <t>T20, XLO</t>
  </si>
  <si>
    <t>Turbo AR</t>
  </si>
  <si>
    <t>T20, Clementins</t>
  </si>
  <si>
    <t>T18 (Sense Prot. / Brassin), acabat</t>
  </si>
  <si>
    <t>Idem+ els empelts tenen molt de mal de trip, no podem retrasar tant les maxines</t>
  </si>
  <si>
    <t>Hundatus 2, Marcelo 3, Costa Rica 9, Llavor 1, Pink 3, Red 3, PH 4, ? 1, American beauty 1, Cometa Halley 2. Tot polinitzat amb Hibridum. Total 29.</t>
  </si>
  <si>
    <t>JC2 5, Hundatus 1, Maria Rosa 13, Costa Rica 17, Marmel 7, Llavor 8, Red 5, White 2, Pink 5, Yellow 1, American beauty 13, G2 3, PH 2, Cometa Halley 9. Tot polinitzat amb Hibridum. Total 91.</t>
  </si>
  <si>
    <t>Maxina empelts</t>
  </si>
  <si>
    <t>T18 (Sense Prot. / Brassin)</t>
  </si>
  <si>
    <t>Ha hagut molt de mal de AR, però  el hort està  rebrotant. Mal de defoliació, fulles i fruta tacada. Encara hi ha AR viva, he vist algun adult. Comença algo de MB. Hi ha més  fruta de lo que creía. Hi ha que revisar el reg, fuges. Pensar en un foliar?</t>
  </si>
  <si>
    <t>Balcó: El hort està millor que mai. Més  verd que mai i amb moves brotacions, ademés és  veu fruta. Encara hi ha algo de mal de AR em fruta I fulla, no he vist viva. La brossa està per a fer-se, ja està  manada. Un plantó ha mort. Hípica: El hort està  millor que mai, hi ha una nova brotació  I les fulles estàn  molt verdes. Hi ha fruta. Han mort 4 plantons i en les pròximes setmanes algun que altre més.  Algo de mal de AR en fruta I fulla I seca de rames. No he torbat AR viva. Se te que fer la brossa també.</t>
  </si>
  <si>
    <t>Plantona:  Molt bona cara, molt bona  brotació, mals de trip, menys doblat de rames, és va lignificant poc a poc. Fa falta fer la brossa en les tires. Banca gran: Molt bona cara i molt bona brotació, falla la fruta. Encara es veu alguna fulla amb mals de AR, no he trobat apenes AR. El hort en general marca menys sed. Solventar el problema  de les basses de aigua.</t>
  </si>
  <si>
    <t>La cara del hort va a pitjor, tot I que alguns arbres més  jóvens tenen una brotació nova, el hort en general està perdent tonos de verd i alguns arbres és van ficant grocs poc a poc. Hi ha ácar de Texas viu, hi ha que demamonar i segar el frau. Podria ser falta de ferro però  tal i com ha anat evolucionant  al llarg de la campanya, realment crec que és  phytophtora. També  algo de presència de MB.</t>
  </si>
  <si>
    <t>D, C</t>
  </si>
  <si>
    <t>Los árboles tienen buena cara y buen color. Alguna naranja. Poca cosa. Hay daños de araña, pero no es exagerado . Se ve algún síntoma de araña en hoja. Se ven. Colonias, pero apenas he visto adultos . Se podría mirar de hacer la hierba. Hay una fuga en la segunda tira que el tractor se ha comido a la goma y ha salido mucha hierba . Revisar riego . Hay algo de daño de araña en fruta</t>
  </si>
  <si>
    <t>Limpiar sèquia</t>
  </si>
  <si>
    <t>El hort té pitjor cara, ha disminuït  la tonalitat del verd i pareix que  és  fique groc. Hi ha algo de fruta però  poca. Sé  te que fer la brossa de les tires. Hi ha Acar de Texas i comença la MB. Tractar.</t>
  </si>
  <si>
    <t>No acabat, avespes</t>
  </si>
  <si>
    <t>El hort té bona cara però  hi han mals de AR I algunes marques de dèficits  nutricional. Fa falta segar brossa frau. El hort està  brotant, deuriem de fer nutricional. No he vist plagues.</t>
  </si>
  <si>
    <t>T21</t>
  </si>
  <si>
    <t>T21, Clementí</t>
  </si>
  <si>
    <t>4 María Rosa. 11 Halley Comet. 15 American Beauty. 9 G2/Purple Haze. 3 Costa Rica. 3 Museros. 8 Red. 5 Pink. 2 Yellow. 2 Marmel. Polinizadas con mezcla JC1, JC2, Hibridum y Yellow. 1Jindu y 1 Myhuanlong auto polinizadas. ACUMULAES 6892.</t>
  </si>
  <si>
    <t>7 María Rosa, 1 Golden, 1 Costa Rica, 2 Blanca semilla, 1 Museros, 8 American Beauty, 4 G2, 6 Halley Comet. Polinizadas con mezcla Hibridum, JC1 y Marmel.                                  30. Año pasado 0</t>
  </si>
  <si>
    <t>Hort en general bona cara, hi ha una brotació  nova. També  perd algo de color I més  groc, com tot el term burriana. Es veu prou fruta. Algo de mal de AR en fulla i frut, algo de AR viva, és ca tractar dimecres, ha fet algo? Com pot ser que el mateix tanque haja fet efecte en vora riu i en matella no?</t>
  </si>
  <si>
    <t>Idem+ la falta de clorofila  i el augment  de grojor es veu fins i tot en les brosses</t>
  </si>
  <si>
    <t>Canviar gomes</t>
  </si>
  <si>
    <t>Los árboles tienen una brotada buena. No todos hay presencia de algo de araña, pero se ven muchas frutas tocada de araña donde hay frutas en contacto . Se han cambiado algunas tuberías de las primeras tres tiras de la banca de Valls. Hay que seguir cambiando gomas en general. El huerto se ve bien pero ha tenido muchos daños de araña, Se debería tratar.</t>
  </si>
  <si>
    <t>14 María Rosa, 1 Blanca semilla, 1 Costa Rica, 13 G2, 2 American Beauty, 8 Halley Comet. Polinizadas con mezcla JC1 e Hibridum. 39
Año pasado 0. ACUMULAES 6961. Venta 48 caixes</t>
  </si>
  <si>
    <t>Crisu 2:  Los árboles se ven bien. Movidos . Mirar de tirar nutricional . Se ve algo de fruta . Mucha fruta, tocada de araña y con daños de sol . Los árboles no tienen mala cara . Se ve alguna colonia separada, pero en general está limpio de araña. Crisu 1: Se ve algo de fruta. En general calibres pequeños tanto en clementinas como en valencias . Se ven árboles, movidos y otros no tan movidos, pero en general el huerto tiene buena cara. Se debería volver a desmamonar . Se ve alguna araña suelta, pero la población es baja . Se ve a seven árboles con bastante daño de araña en fruta. Crisu 3: Clementinas con mucha fruta . Ha habido muchísimo daño de araña tanto en hoja como en fruta . Como término general, se ven los árboles limpios . Están muy brotados. Si se pasa nutricional pasar también nutricional a crisu. 3 .</t>
  </si>
  <si>
    <t>Los lanes tienen buena cara. Hay alguno que está empezando a mover . Respecto a los mioros, se ve falta de agua? En algunas tiras . Hay árboles que están con Set . Apenas se ve daño de araña en hoja. Se ve alguna fruta? Tocada de araña . No se ve presencia de araña viva . Hay fruta .</t>
  </si>
  <si>
    <t>Hay presencia de mosca blanca . Tratar . Hay muchos árboles con planchas que han fallado y con planchas que están verdes pero no han brotado. Los injertos de chip han fallado prácticamente todos</t>
  </si>
  <si>
    <t>Árboles con buena cara. Algo de fruta . Hay árboles que tienen sed . Solo una goma por tiras revisar riego . Se ve algo de mosca blanca . Esta semana hay que cortar la rafia del injertado .</t>
  </si>
  <si>
    <t>16 María Rosa, 6 Halley Comet, 4 American Beauty, 1 Tesoro, 2 Blanca semilla. Polinizadas con mezcla Blanca semilla y JC1. 29. Año pasado 0</t>
  </si>
  <si>
    <t>Balcó: Hort en molt bona cara, fulla oscura i nova brotació. Encara hi ha seca de rames I fulles tocades de AR, però  no trobe AR viva ni en fruta. Fer la brossa ja manat i acapolar arbres seques. Llevar cremaor. És  veu molt a fruta  I bon calibre. Hípica: Hort amb molt bona cara, encara que perd un poc de tonalitat de verd, tot I això  molt bona brotació. Encara és  veu algo de mal de AR en fulla I defoliació, però  AR  viva soles en punts molt específics on no es pot tractar. És  veu fruta. Brossa per a fer-se ja manada. Llevar tocons I araujes especialment contra els cavalls.</t>
  </si>
  <si>
    <t>Segar</t>
  </si>
  <si>
    <t>Rafia tallada</t>
  </si>
  <si>
    <t>Hípica: Árbol con muy buena cara y muchas hojas nuevas . Se ha regado todo bien, excepto en la banca de Debajo hay un tramo que parece que el agua no haya llegado a la fila de los árboles que están pegados a la pared. Al final si q ha llegado pero hay un tramos de 5 arboles q el agua no ha llegado a la pared. Revisar para la próxima vez . Por el otro lado se ve que hay mucha agua estancada. He visto alguna araña pero solo en las zonas q no se tratan</t>
  </si>
  <si>
    <t>Se ve algo de fruta . Mucho daño en fruta de sol. Se está abriendo alguna naranja . Se ve muchos culos tocados de araña . Hay algún árbol que se sigue viendo algo de araña en fruta . Hay brotaciones bastantes brotaciones nuevas. Muy afectadas de trip.Hay algunos árboles que tienen bastante daño de araña en fruta. Incluso las frutas se nota blanda. El último pase de dinamite crec q ha sigut masa tart. Fruta en el culo tocat de araña Hi ha molta i encara he vist alguna viva en cul de fruta</t>
  </si>
  <si>
    <t>Lane: Los árboles tienen Texas. Se deberían de tratar. También se ve algún árbol que ha tenido araña roja . Hay árboles que parece que les haya sentado mal algún tratamiento, como si tuvieran un problema hormonal o con el herbicida. Se ve algo de fruta . Se ve también algo de fruta pequeña . Hay q quitar araujas. Chislet XLO: Las plantas están muy poco brotadas. No sé si merece la pena poner el exhire . Los XL o están críticos. Tienen muy muy mala cara. En general han tenido un montón de daño de araña . Hay algún plantón que no sé si riega bien? Habría que revisar riego?. XLO ort: No sé fruta . Los árboles no tienen tan mala cara como en el cheslet . Hay algún árbol más que está brotado. Aún así, los árboles en general siguen sin tener buena cara. No veo araña viva . No veo daños de araña viva .</t>
  </si>
  <si>
    <t xml:space="preserve">D </t>
  </si>
  <si>
    <t>Arrufatino:  En general el huerto se ve bastante bien. Apenas se ven ya daños de araña y se ve alguna fruta . Tiene alguna anotación pero poca cosa. Oronul: Los árboles se siguen viendo bastante flojos . La última brotada estaba muy afectada de trip, pero los árboles no están volviendo a mover . No se ve araña viva . La injertada se debería volver a repasar y a reinjertar y apretar. Orri: Los árboles se ven muy bien. Cada vez voy viendo más fruta . Apenas hay mosca blanca . Yo me ahorraría tratarla solo foliar . Hay movidas nuevas pero no sé si merece la pena. Protegerlas.</t>
  </si>
  <si>
    <t>Empelts desmamonats</t>
  </si>
  <si>
    <t>Crisu: Texas cero, MB cero, cotonet viu cero.  Ha millorat mol el color, alguna brotacioningun sintoma de tryps.  Calibre masa gordo. Teronges podrien haverne moltes mes.  Clementi: Limpio de AR, res de MB, res de mal de tryps, res de texas.  Fulles vigoroses y bon color.  Mitja cullita.  Masa calibre. Olivera: Bon color, res de MB, Texas y cotonet. Diferencia calibres alguns bons y altres fora de rango. Mitja cullita bona.</t>
  </si>
  <si>
    <t>T22</t>
  </si>
  <si>
    <t>T22 (Sense oli)</t>
  </si>
  <si>
    <t>Maxina mosca</t>
  </si>
  <si>
    <t>Turbo Pell</t>
  </si>
  <si>
    <t>C, A</t>
  </si>
  <si>
    <t>Crisu 1, 2. T23</t>
  </si>
  <si>
    <t>Crisu 2, 3. T24</t>
  </si>
  <si>
    <t>T23</t>
  </si>
  <si>
    <t>T24</t>
  </si>
  <si>
    <t>Idem + pensar en tirar  les taronges rajades i tocades del sol per evitar mosca</t>
  </si>
  <si>
    <t>Idem + està  molt masacrat, hi ha arbres contra la tira se la bruixa que morirán. Revisar reg, hi han fuges</t>
  </si>
  <si>
    <t>T23, XLO</t>
  </si>
  <si>
    <t>T24, XLO Chislett</t>
  </si>
  <si>
    <t>Idem+ prou de mal de AR I els arbres no pareix que tiren de nou.</t>
  </si>
  <si>
    <t>Revisat Mosquers</t>
  </si>
  <si>
    <t>Idem + les tires de les bores de la banca de baix estàn  destruides. Esta brotant molt. Brota sense trips si el protegim se tapara tot el hort.</t>
  </si>
  <si>
    <t>T23, Clementins</t>
  </si>
  <si>
    <t>Idem+ el reg ací  no està  revisat, la goma no arriva al final, fuges i goma tallada. Llevar les pedres al frau.</t>
  </si>
  <si>
    <t xml:space="preserve">Ampelta </t>
  </si>
  <si>
    <t>Preparar llenya per a cremar</t>
  </si>
  <si>
    <t>Llimeral, no acabat</t>
  </si>
  <si>
    <t>Llimeral: Pareix que la part contra Castelló  se esta regant. Carabasses: Pareix que ja no queda res tot brossa, Totes les carabasses  que hi han farà sabor a carto. Plantona: Molt bona cara, no han brotat mamons de les soques. Vell: Molt bona cara, bona  fruta però  algún  punt amb AR viva (1 adult, algunes larves) i mals de AR. Lo empeltat marxa, repasar  i reampeltar, tornar a lligar. El producte de javi (barrier? Mitemine?) Com que li ha sentit be a la ampelta, se han oscuridad.</t>
  </si>
  <si>
    <t xml:space="preserve">Desmamonat  </t>
  </si>
  <si>
    <t>Gran:  En general, el huerto se ve mucho mejor. Hay un montón de brotaciones muy buenas . Hay alguna hoja que se ha quedado un poco corta de color. El final de las brotaciones está afectado de trip . Ya no he visto nada de araña viva. Solo algunas colonias se enoja. En el sitio donde vi araña la semana pasada lo he visto limpio . Sí, que parece que las gomas hayan hecho efecto y esos árboles hayan mejorado un poco de cara. Respecto a los que no se ha cambiado la tubería . Sigue cayendo alguna hoja y alguna fruta. Plantons: El final de los brotes está afectado de trip . Pero en general se ven muy muy buenos puntos. Tienen hojas gigantescas, pero se han quedado enrolladas . Están limpios de todas plagas, no hay ni araña ni mosca blanca .</t>
  </si>
  <si>
    <t>&lt;1/dia</t>
  </si>
  <si>
    <t>1/dia</t>
  </si>
  <si>
    <t>&gt;20/dia</t>
  </si>
  <si>
    <t xml:space="preserve">Ahir 15 flors sense polinitzar, hui 2 polinitzades. Seguim plenant les abonadores i abonant. </t>
  </si>
  <si>
    <t>Te una brota nova molt bona i alguns arbres molta fruta. Hi ha mal de AR en frut i AR viva en fruta, se té  que tractar si o si. Les gomes podrien haver-se  colocat millor. Fan falta 8 carxofes a colocar. Revisar si o si gomes noves. Ja hi han fuges en la nova goma. Ampelts molt bé, molts trencats rebroten. Tornar a repasar, reampeltar i lligar</t>
  </si>
  <si>
    <t>Llimeral, acabat</t>
  </si>
  <si>
    <t xml:space="preserve">Se veu milloria en increment de aigua. Se veuen mes teronges, hiaurant mes que el any pasat. Podria fese en parcheo de brosa y la dels plantons. Plantona molt desarrolla. Hia que arreglar fuga de 20 mm. </t>
  </si>
  <si>
    <t>Turbo, Foliar</t>
  </si>
  <si>
    <t>Orri, T24</t>
  </si>
  <si>
    <t>65 Hibridum, 9 Costa Rica , 12 Yellow , 14 Pink, 10 Red. POLINIZADAS CON MEZCLA  YELLOW Y JC1</t>
  </si>
  <si>
    <t>23 Costa Rica , 31 Museros, 22 Red, 5 White , 26 Pink, 21 Yellow , 6 Blanca Semillas, 93 Hundatus, Polinizadas con mezcla Hibridum y JC1. 7 Myhuanglong autopolinizadas.
62 Hibridum, 17 Zona Marmel , 4 Golden, Polinizadas con Myhuanglong. Total 312
Año pasado  0. ACUMULAES 7393.</t>
  </si>
  <si>
    <t>5 Halley Comet, 11 American Beauty, 4 Pink, 5 White , 86 Blanca Semillas , 23 Museros , 6 Costa Rica , 3 Red, 6 Yellow, 37 Golden, 226 Hundatus , Polinizadas con mezcla de Marmel y  Golden . 1 Myhuanlong, 7 Marmel , Polinizadas con Myhuanglong. 420 año pasado 0, ACUMULAES 7813.</t>
  </si>
  <si>
    <t>23 Maria Rosa , 17 Halley Comet , 27 G2, 18 American Beauty , 32 Blanca Semillas , 8 Museros , 37 Golden , 21 Hundatus , Polinizadas con mezcla Marmel, Golden y Blanca Semillas. 1 Costa Rica autopolinizada. 176, Año pasado 22. ACUMULAES 7989.</t>
  </si>
  <si>
    <t xml:space="preserve">JC </t>
  </si>
  <si>
    <t>Hernandinos momt recuperats, pero eliminar igual. Neufina en poc de mal de AR, pero si msl en fruta.   FALLO REG segona tira falta un tros de goma y punta auberta</t>
  </si>
  <si>
    <t>Hort increiblement bo, negre y bona fulla, se veuen teronges.  FALLO REG tira pared urgen revisar</t>
  </si>
  <si>
    <t>Balcó, hípica no acabat</t>
  </si>
  <si>
    <t>Balcó: Hort en bona cara, bon color i  bona brotada, és  veu prou fruta. Tot i que hi han mals de AR en fruta, no trobe viva. Hi ha seca de rames. L'hort és  sorpresa cada volta que passa aigua per la sèquia  de damunt  eixa és la raó per la que han mort els arbres contra la punta. Com podríem solventarlo? Acapolar soques de arbres morts. No se ha fet encara la brossa. Hípica: El hort te molt bona cara i una nova brotació  prou bona. Hi ha fruta amb algo de mal de AR en algun punt però  molt poc. AR soles en algun marge. Se te que fer la brossa encara no feta. Acapolar soques. Poca presència  de plagues.</t>
  </si>
  <si>
    <t>Plantona espectacular sobre tot clementins. No veu AR, ni mals. No MB.  Mal de  tryps, pero la brotacio no se ha perdut. Tira de brosa seca ya.  Hort vell calibre ha millorat, se faran bones.  Se ha mort el primer teronger contra la basa.</t>
  </si>
  <si>
    <t>Texas a mogollon, el dilluns TRATAR, antes de que regue. Hort bon color, fa falta pasar tritursora brosa.  MB no.</t>
  </si>
  <si>
    <t>Hort molt bo. Teronja molt grosa. No AR, ni MB, ni tryps.  Brosa perfecta.</t>
  </si>
  <si>
    <t>Regat, brosa tires secanse, fa falta triturar brosa frau.</t>
  </si>
  <si>
    <t>T25, XLO Ort</t>
  </si>
  <si>
    <t>Turbo Nutricional</t>
  </si>
  <si>
    <t>T25</t>
  </si>
  <si>
    <t>Horts bon color. Fruta molt bon calibre, limpies.  No MB ni Texas. Se ha de desmamonar mindnigth y revisar reg. Hia que acapolar lledoner, y rebrots de chirimoyo y guayaba.  En vora nadorcott terra campa hia alguna fuga</t>
  </si>
  <si>
    <t xml:space="preserve">JC, D </t>
  </si>
  <si>
    <t>Nivell de AR no arriba a necesitar tratar.  Seguir miranlo.  No MB, no danys de trips.  Algunes boles no tanquen, limpiales y ficar aixetes.  Acapolar abres dels veins. Se han trencat alguns empelts y altres se han desarrollat masa y corren perill. Hia que ficar gomes al puesto.</t>
  </si>
  <si>
    <t>Solventat reg tira contra pared.  Era taponament per fag. Deuriem comprovar reg en una semana.  Se han de desmamonar tots els plantons. No AR ni MB. Hiant moltes araujes despres de fer brosa repasaro a ma.</t>
  </si>
  <si>
    <t>Repasar reg</t>
  </si>
  <si>
    <t>Reparaes les fugues de les puntes y recolocaes les carchofes. Queda una fuga en la eixa de la terciaria. Esta vespra sense aigua arreglar. Hort recuperat y bon llustre, noAR ni MB, ni TEXAS.</t>
  </si>
  <si>
    <t>Crisu 1, T25</t>
  </si>
  <si>
    <t>No AR.no MB.  Brotacio actual Cr2 menos deforma Trips. Tira problematica rega.  Fuga costa aparcaor banca de baix.  Se te que desmamonar crisu 1 y arreglar plantonets en Cr 1 y 3</t>
  </si>
  <si>
    <t>En banca clemenules apareis tambe alguna tuberia cristalisa. Pot pensase en cambiar. Falten acabar de ficar boles punta. Se veu algun tubo de la toma en sintomes de cristalisacio.  Hem quedat eliminar abres per facilitar pas tractor contra carretera, pa que tractor no pique goma</t>
  </si>
  <si>
    <t xml:space="preserve">D  </t>
  </si>
  <si>
    <t>Los huertos se ven muy bien los dos no se ve plaga. Teronges en els dos puestos en molt de calibre, carga va per abres, Hi han plens i buits</t>
  </si>
  <si>
    <t>Turbo Texas</t>
  </si>
  <si>
    <t>T26</t>
  </si>
  <si>
    <t>T26, lane late</t>
  </si>
  <si>
    <t>T27</t>
  </si>
  <si>
    <t>El hort ha millorat molt, fulles en molt més  color, hi ha una brotació tímida  i és  veu cada dia més  fruta. Picar rames dels plantons, desmamonar empelt</t>
  </si>
  <si>
    <t>El hort te bona cara I te fruta, pareix que falte aigua. No es veu presència de plages. La empelta avança pero ha patit mal de trip. Es pot tornar a desmamonar I lligar. Portar goma i acabar de ficar tramos.</t>
  </si>
  <si>
    <t>Hort amb bona cara sobretot els tarongers, alguns arbres pareix que lis falte aigua. Han hagut prou mals de AR en mandarí  pero no es veu plaga. Ficar més  gomes de reg, triturar madera rebaixada.</t>
  </si>
  <si>
    <t>Maxina ampelts i plantons</t>
  </si>
  <si>
    <t>Per norma general el hort se ha refet, encara queden mals de AR en alguna fulla I un poc de defoliació, però  les brotacions han refet el hort. Es veu molt i bé  i en bona cara. Els arbres amb molta gomosis van colapsant toca acapolarlos i revisar el reg pareix que algun arbre patisca sed. Desmamonar, lligar I reampeltar la empeltada. Alguna larva però  quasi zero plaga.</t>
  </si>
  <si>
    <t>Hort en molt bona cara, nova brotació bona. Es veu fruta però  els arbres molt carregats van anant justos de calibre. Hi ha encara mal de AR en fulla I frut, soles he vist alguna larva en fruta. Marca algo de sed, revisar reg.</t>
  </si>
  <si>
    <t>Desmamonar tarongers</t>
  </si>
  <si>
    <t>No acabat, Crisu 1</t>
  </si>
  <si>
    <t>Crisu 1:  Hort bona trasa, el calor esta aparant calibre ya vorem.  No AR, No MB, no Texas. Crisu 2: La brotacio va desarrollanse, posible nou pase pa trips.  Controlar dia si dia no</t>
  </si>
  <si>
    <t>Maxina Plantons i empelts</t>
  </si>
  <si>
    <t>Lane: está escomençan a moure. El calibre medio de les mioros va millorant. Limpio de araña. Se tiene q revisar el riego. Hay q destarugar y quitar brazos con alicates. Desmamonar també seria necessari</t>
  </si>
  <si>
    <t xml:space="preserve">El XLO té millor cara i està brotant, els tractaments  han funcionat, tot I això encara es veu defoliació I mals de AR, falta ficar molta fulla. Toca tornar a desmamonar  un altra volta i destarugar amb motoserra I pintar els talls. Tirar fruta tocada i rajada enterra.  Hi han moltes enredaderes. </t>
  </si>
  <si>
    <t>Arbres millorant, no hi ha araña, no Hi ha plaga, Ho ha arbres q morirán, se veu algo de fruta, Hi ha mals de araña</t>
  </si>
  <si>
    <t>Hi ha q desmamonar oronul y orri, molt bona pinta, se veu cada vega mes fruta, revisar fugues, malesa de javalis</t>
  </si>
  <si>
    <t>Repasat plantons</t>
  </si>
  <si>
    <t>Faenes varies</t>
  </si>
  <si>
    <t>Desmamonar, plantons. Parar citrumelos. Tirar teronges plantons. Arrancar araujes grands.  Y ademes brosa tires pasa. Hort molt bona trasa color negre intens, (salvo terongers mes xungos). Fruta masa calibre. Hia mitja cullita.  Hia que vindre en 10 dies repasar araujes xicotetes y motoserra gorda serrar alguna soca</t>
  </si>
  <si>
    <t>Maxina empelts i plantons</t>
  </si>
  <si>
    <t>Balcó: Molt bona cara, bona brotació I prou fruta. Baixar arbres, llevar rames seques i arbres morts. Llevar cremaor? No presència  de plages. Hípica: Bona cara dels arbres i bona brotació, arbres  carregats de fruta  no tots. En general  pareix q l'hort  perga tonos de verd. Acapolar troncos vells i llevar rames seques. Algo de plaga pero soles en punts on no es tracta. PRC i AR.</t>
  </si>
  <si>
    <t>T25 (AA/WI 2 kg)</t>
  </si>
  <si>
    <t>96 Maria Rosa , 148 American Beauty , 83 G2, 16 Purple Haze, 92 Halley Comet , 2 Physical Graffity, 1 Tesoro , Polinizadas con mezcla Blanca Semillas e Hibridum.  438. Año pasado 42. ACUMULAES 8427.</t>
  </si>
  <si>
    <t>Xlo casi tot recuperat, va fen cami.  Se ha de desmamonar y destarugar.  Les araujes estan pa repasase.  El chislet edta molt bo.  
Podria pensase fer un altre pase  al xlo pa tryps y salvar ultima brotacio</t>
  </si>
  <si>
    <t>Desmamonar i parar plantons</t>
  </si>
  <si>
    <t>Tirar taronges</t>
  </si>
  <si>
    <t xml:space="preserve">Crisu 3 </t>
  </si>
  <si>
    <t>Clemenules mol bon color. Molt bo.  Mol carregat de fruta, bon calibre, y molt limpia. No masa mal de araña.</t>
  </si>
  <si>
    <t>Salvo vores, esta recuperat, bon color y brotacio bona.  Les vores van recuperance</t>
  </si>
  <si>
    <t>Plantons: molt verds, grans fulles, noves brotacions, afectat de trip. Fer brossa, revisar reg, desmamonar, destarugar, pintar talls. Gran: és veu molt bé, verd i brotat encara marca sed en alguns punts i mals de AR en fulla, alguns arbres falta fulla, massa basses, revisar tomes, és  veu fruta, fer brossa. No presència  de plages.</t>
  </si>
  <si>
    <t>Hort en bona cara, no veig tanta fruta però algo hi ha. Limpio de plages. Se está ficant groc, tractar per a la phytophtora. Acapolar arbres morts I tocons.</t>
  </si>
  <si>
    <t>El hort te bona cara però  està  perdent verd. Hi han noves brotacions, però la diferència  entre els arbres que hem tirat maxina i els que no en brotacions  es una locura. Hi ha algo de fruta però  poca. Tenim que desmamonar. Hi ha acar de Texas  però pareix que ha disminuït.</t>
  </si>
  <si>
    <t>Hort molt bo.  Bon color, fulla fantastica. Bona cullita, pero podrien tindre mes.  Polvoriza a anat momt be, res de Texas, res de MB. Poc de PR.  Calibre fantastic, alguna fruta enxposta al sol, ha segut toca per la polvoriza en sofre.  Pero tambe estaven tocaes de sol.  Brosa controla y seca</t>
  </si>
  <si>
    <t>Hort prou be, se no ta un monto en el color que no se ha inyectat. No plagues. No brosa. Hia alguna teronja.  Han tallat el candau, hara no se pot tancar. Hiauria que buscar solucio antes de que mos tiren res</t>
  </si>
  <si>
    <t>Repasat i parat plantons</t>
  </si>
  <si>
    <t>Orri, darrere de la granja i brossa</t>
  </si>
  <si>
    <t>No masa mal de tryps  ninguna plaga.  Ha agut entra de jabalis. Una muntona de clots, se devien de tapar. Posible goma talla per jabali en banca brosa  orris prou bona trasa. No veu plaga</t>
  </si>
  <si>
    <t>55 Purple Haze/ G2, 103 American Beauty , 61 Halley Comet, 13 ?, 1 Physical Graffity, 2 Tesoro, 2 Pink, 1 Red, 2 Golden, 25 Maria Rosa, 15 Golden, 2 Costa Rica, Polinizadas con Hibridus. 222 . Año pasado 26</t>
  </si>
  <si>
    <t>Vell: arbres vells color molt negre i es veu fruta amb bon calibre, algo de mal de AR, però  no presència  de plages. La empelta ha tornat a brotar increible i sanisima, se podria tornar a desmamonar, locura de desarrollo. Plantona: molt bona cara molt bon color, fruta amb calibre, mal de AR en alguna fulla però  no presència  de plages, alguns arbres tornen a brotar. Carabasses: abandonat, brossa i terra molt humida, se podriran totes. Revisar reg banca gran.</t>
  </si>
  <si>
    <t>Maxina plantons i empelts</t>
  </si>
  <si>
    <t>T27 (sense mitemine)</t>
  </si>
  <si>
    <t>Idem+revisar reg hi ha goma tallada</t>
  </si>
  <si>
    <t>Nova brotació  increible, tot se esta doblant, els arbres vells també, el reg está  refent el hort. No es veu tanta fruta. Necessari tornar a desmamonar  I lligar, tal volta reampeltar I sangrar. Falta ficar carxofes i grifos</t>
  </si>
  <si>
    <t>Idem+ esta molt verd, hi ha molt de calibre, la tira que no se regava encara està  prou malament.</t>
  </si>
  <si>
    <t>Hort molt recuperat, escomensa a fer sombra. Bon color, y bona fulla. Inclos veu alguna teronja.</t>
  </si>
  <si>
    <t>T25 (2kg WII/AA)</t>
  </si>
  <si>
    <t>El aigua se nota, sobre tot en rls terongers punta. Se havien de colocar totes. No plagues, bon calibre. Els veins presenten pijor cara que el nostre, estan grocs y en mes señals de falta de aigua que mosatros. Se te que reparar tubo del 20.
Plantona se tendria que desmamonar.  Brosa la fan hui</t>
  </si>
  <si>
    <t>T23 (500cc trebon), Clementins</t>
  </si>
  <si>
    <t>Oronul mol pobre de fulles.  Ultimabrotacio tota deforma. Posible araña en eixes fulles. Empelta pa desmamonar</t>
  </si>
  <si>
    <t>T23 (500cc trebon)</t>
  </si>
  <si>
    <t>Els terongers no brotats espectaculars en bona fulla y bon color. Hia que procurar que no broten desde agost. Fruta molt bona alguns terongers plens..  se hauria de desmamonar antes de cullir. Nivell de ceratitis molt baix 0,2/dia</t>
  </si>
  <si>
    <t>Crisu 1/3: La banca de baix té  arbres en estat crític, no sé  están regant, les taronges  ja estàn  canviant de color I els arbres estàn morint. Fa falta seguir desmamonant arbres i revisat reg. És  veu fruta  I els arbres de la banca gran estàn  bé  però no se si la fruta arribarà al calibre. Crisu 2: Nova brotació bona pareix que se manté sana, tenim que cuidarla. És  veu algo de fruta. Hi han arbres que no acaben de tirar. Tocaria tornar a desmamonar. Plantona crisu 2, escomensa a vores deformacio en brots. Se tendria que picar brosa del frau. Abres van guañan volumen, se hauria de desmamonar. En crisu 1, hort molt bo, se veu molta fruta.  Se ha de acabar de desmamonar
Conteo mosques, &lt;0,2</t>
  </si>
  <si>
    <t>Millor color que mai.  Control de mosca sobrepasat, 2- 3 mosques per dia. Els plantons se tendrien que desmamonar.  La brosa del lane esta pa fese. Hort ha millorat molt de color. La fruta tambe ha millorat mol. Se debia tornar a desmamonar. Conteo ceratitis 2,5 per trampa</t>
  </si>
  <si>
    <t>Plantona molt bona, pero ultima brotacio crema per trips, pero no ha frenat creiximent.  Vell molta fruta y calibre va be. Empelta espectacular, tot brotat y sense trips. Al any que ve poden haver teronges. Valorarem si deixales. No masa trencsts,  algun mamo repasable</t>
  </si>
  <si>
    <t>1 Hundatus, 1 Maria, 3 Blanca Semillas, 2 Museros, 29 American Beauty, 3 G2, 2 Red, 2 Purple Haze, 2 ?, Polinizadas con Hibridum. 45
Año pasado 36. 8694 acumulades</t>
  </si>
  <si>
    <t>8 Hundatus, 2 Myhuanglong, 11 Museros, 1 Red, 5 American Beauty , Polinizadas con Myhuanglong , 27. Año pasado 136</t>
  </si>
  <si>
    <t>34 Hundatus, 2 Maria Rosa, 3 Blanca Semillas, 8 Museros, 1 American Beauty , 12 Hibridum, Polinizadas con mezcla JC1 y Marmel. 60, Año pasado 202. ACUMULAES 8781</t>
  </si>
  <si>
    <t>Idem+brotació  nova bona qur esta refent el hort. Es veu fruta amb molt bon calibre</t>
  </si>
  <si>
    <t>Empelta molt be. Un empelt mes trencat. Ya s en trenquen menos.  Algun brot afectat de pugo, pero casi tot mort.fruta bon calibre</t>
  </si>
  <si>
    <t>Lligar, desmamonar, rebaixar</t>
  </si>
  <si>
    <t>Contar mosques, dalt 0,6,  entra 4. Se devia pasar mosca banca entra.  Pkantons dalt, estan mamonan despres de la talla que es hem fet, devia desmamonase hara que costa poc y favorir que creisaca lo que interesa. Hort molt, molt bo, sense plagues y en molt bon color, la faena donan resultats. Cada dia se veuen mes teronges, el calibre va millorant. Lane va responen, alguna fulla nova, no plagues. Se ha de fer brosa</t>
  </si>
  <si>
    <t>Lligat i desmoamonat</t>
  </si>
  <si>
    <t>El hort es va refent pero pareix que passa sed com lo de la dobla de les fulles de la montanyeta, es un problema varietal? Esta molt ben brotat. Els plantons  I els ampelts avançen. Hi ha algo de AR I algo de MB, pero molt poc. Encara fulles amb mals de AR.</t>
  </si>
  <si>
    <t>Desmamonat i lligat</t>
  </si>
  <si>
    <t>Hort en millor cara però el mal de AR ha sigut molt gran i encara es veu. Algo de fruta però pareix que el sol li esta afectant. El hort no se recupera del tot de la AR, teni mque revisar reg. Mosques pepa &gt;40. Les tires cascades contra el veí, Van caen les taronges.</t>
  </si>
  <si>
    <t>El hort se està recuperant, color molt més  oscur. Alguna brotació. Picar madera rebaixada. Hi ha molt de cotonet viu en fruta I esta tacant I afectant a la fruta.</t>
  </si>
  <si>
    <t>Alguns arbres  passen sed, mal de AR sobretot en mandarins i s'han  defoliat. Picar llenya rebaixada. Hi ha que desmamonar  els 
Tarongers  en alicates, mamons del patró. No acaba de brotar</t>
  </si>
  <si>
    <t>Hort en bona cara les ampeltaes van tirant, algun tronc cremat del sol pese a la pintura. Es veu prou fruta. Revisar reg!</t>
  </si>
  <si>
    <t>T25 (2kg AA/WII)</t>
  </si>
  <si>
    <t>Lligat, desmamonat i rebaixat</t>
  </si>
  <si>
    <t>Oronul i Orri</t>
  </si>
  <si>
    <t>JC,C,D</t>
  </si>
  <si>
    <t>42 flores polinizadas entre Maria Rosa, Blanca Semillas, Golden y Halley Comet. 
Polinizadas con mezcla Hibridum y JC1. 
Año pasado 382</t>
  </si>
  <si>
    <t>52 Maria Rosa, 8 Purple Haze, 7 G2, 59 Halley Comet, 51 American Beauty, Polinizadas con JC1 . 177. Año pasado 277. ACUMULAES 9000. Alrededor de las 2/3 de las Halley Comet polinizadas corresponden a Halley Comet americanas. Los frutos de éstas últimas  son clavaditos a los de Purple Haze : buen tamaño , aspecto exterior, carne rosa. Las fechas de floración y, por tanto, de recolección, también coinciden. La única diferencia es que creo que  las American Beauty Americanas son bastante más  productivas.</t>
  </si>
  <si>
    <t>Plantons molt be. Van creixent. Citrumelos fondo molt bon desarrollo. Els altres van creixen.  El ultim relleno de la banca del costat de la granja deu tindre mes Ca,  els citrumelos no van be. Se hauria de plantar altre patro. Ceratitis: 2 per dia contra orri, Contra fondo menos de 0,5</t>
  </si>
  <si>
    <t>Crisu 1/2</t>
  </si>
  <si>
    <t>La ultima brotació no ha sigut tan castigada per el trip, els arbres se quedaran prou bé per al hivern, hi ha algo de fruta, pero tal volta tornar a tirar protecció. Se podria fer la brossa per a les tires un altra volta per la cola de cavall. La cola de cavall la farem cuant els abres edtiguen parats y fatja mes fret, pa que no afecte als plantons</t>
  </si>
  <si>
    <t>Banca vella</t>
  </si>
  <si>
    <t>Lligat, desmamonat, destarugat</t>
  </si>
  <si>
    <t>XLO Chislett</t>
  </si>
  <si>
    <t>Pareix que hi ha una ultima brotació que no esta gens malament, tot I això hi han arbres que no van. Les poques frutes que havien estan totes rajades, tocades I tacades I van caient.  Necesari pintar talls i llevar araujes.</t>
  </si>
  <si>
    <t>Reparació de fuges</t>
  </si>
  <si>
    <t xml:space="preserve">Banca gran  </t>
  </si>
  <si>
    <t>Han arrancat tomes altra vega.  El sind mos ha tancat el aigua. Collantes vell: hi ha AR viva, adults influïts en algunes fulles sintomatiques, es veu prou fruta però alguna amb falta de calibre. La empelta  va perfecta, podria reampeltar se  alguna cosa. Huerto con buena cara. Se ve araña en el huerto viejo. Se debería de pasar . Se ve algún árbol con fruta, pequeña y árboles que marcan sed .</t>
  </si>
  <si>
    <t>Turbo nutricional</t>
  </si>
  <si>
    <t>Desmamonat, lligat, destarugat</t>
  </si>
  <si>
    <t>Banca gran i plantons, bon color de arbres, ultima brotació bona i ba cuallant. Necessari revisar reg en els dos llocs. No es veuen plages. Desmamonar troncos en la banca gran. Banca gran algo de fruta.</t>
  </si>
  <si>
    <t>XLO Ortenique</t>
  </si>
  <si>
    <t>Huerto en buen estado. Se nota el cambio de riego . Hay algún plantón que parece que esté pasando un poco de sed porque las gomas están separadas. Sobre todo los plantones más pequeños . He visto que se ha roto otro injerto que estaba colgando. En general. El huerto se ve bien. No se de presencia de araña viva . Hay algo de fruta?</t>
  </si>
  <si>
    <t>En el Valencia se ven árboles muy vacíos . Se tendría que desmamonar. En el final hay charcos de jabalí. El riego es crítico . Las plantas apenas están moviendo para la cosecha que tienen . Hay árboles con fruta, pero hay otros muy vacíos . Les tres tires de Valencia Delta. Hay árboles con fruta muy pequeña, pero en general está bien. No se ve ni mosca blanca ni excesivo cotonet. En el nadorcot se ve cotonet, pero no es excesivo, salvo en la tira contra el vecino que tiene mosca blanca, codonet y negrilla . Hay árboles que tienen muy poca fruta y la fruta es muy gorda y hay otros árboles que tienen bastante fruta, pero siguen teniendo mucha fruta pequeña . El color del huerto es bueno, pero yo creo que los kilos no cundirán . Hay presencia de cotonet pero no es excesiva</t>
  </si>
  <si>
    <t>Repasat i parat citrumelos</t>
  </si>
  <si>
    <t>Ha pegat una ultima brota que pareix bona i també  hi ha més  fruta del que pensàvem. Tot I això, hi ha que destarugar ja amb motoserra gran i pintar talls si no la faena es repetitiva e inutil. Contra el veí la doble tira que no es tracta te una defoliació  terrible, MB i cotonet, acapolar tira ja. Hory bona trasa salvo mal de trips. Bon color y bona fruta, pero poques.  Despues de cullir llevar tira vora y podar mosatros</t>
  </si>
  <si>
    <t>Hort en molt bona cara, el color del verd es perfecte, hi ha prou fruta I va agafant-se calibre. El lane va brotant  poc a poc. La plutja li ha sentat bé.  Fer la brossa del lane, revisar el reg de tot, acapolar troncs vells.</t>
  </si>
  <si>
    <t>Aigua tancada</t>
  </si>
  <si>
    <t>Carbasses</t>
  </si>
  <si>
    <t>Pareix que hi ha més  carabasses del que pensàvem. De totes formes hi ha una masacre de rata i conill als fruts. Pensar en replegar  lo antes possible.</t>
  </si>
  <si>
    <t>No capturen ceratitis, de moment no tratem. No arriba a 1 per semana.  Teronges van cambian de color.  Se van aubrin algunes.  No plagues.  Hia terongets ya molt grands, casi se podria llevar abre per d atre. Hia que desmamonar antes de la cullita. Hort en bona trasa, color y fulla. No plagues. Fruta espectacular, limpia y en super calibre. Hiant abres molt plens.  Pot eixir kilos</t>
  </si>
  <si>
    <t>Desmamonat i destarujat</t>
  </si>
  <si>
    <t>Eliminades brosses altes</t>
  </si>
  <si>
    <t>Hort millorant, ultima brotacio en menos trips. Hiant ya abres grands.  Tambe de xicotets. Van creixent poc a poc. Ceratitis cero, no tractem.</t>
  </si>
  <si>
    <t>Repasar citrumelos</t>
  </si>
  <si>
    <t>Herbicida matejar</t>
  </si>
  <si>
    <t>12 American Beauty, 5 Maria Rosa, 3 G2, 1 Purple Haze, 14 Halley Comet, 2 Tesoro. Polinizadas con mezcla JC1 e Hibridum.  37. Año pasado 0</t>
  </si>
  <si>
    <t>Els arbres se han recuperat prou bé, no están  perfectes però  entrarán  al paro de ivern molt millor de lo que van estar al estiu. Fulla de verd intens. Es veu fruta I amb cert calibre. Hi ha que revisar el reg I acabar de acapolar  arbres. En el arrufatino es veu clarament qur els arbres de les puntes han patit molt més, revisar si se han regat correctament o hi ha fang.</t>
  </si>
  <si>
    <t>El hort no acaba de recuperar-se de la infestacio de AR. Arbres amb mal en fulla, fruta, certa defoliació. També és  veuen arbres com grocs. És  veu fruta. Revisar reg molt important.</t>
  </si>
  <si>
    <t>El hort està  molt bé  sobretot les tires llargues, on hi ha macrophylla, falta de fulla I el excés  de fruta donarà  lloc a falta de calibre. Prou fruta per tot el hort. Segueix marcant com si faltara aigua en les tires llargues. Revisar el reg! El lane va brotant</t>
  </si>
  <si>
    <t>T23 (500cc trebon), Crisu 1</t>
  </si>
  <si>
    <t>Hort recuperat amb fruta però la banca de baix les tires de les vores i els arbres de les puntes están  crítics, no se regen i les plages els han reventat, les frutes están canviant totes  de color, si no fem res el problema de mosca sera terrible</t>
  </si>
  <si>
    <t>Hort molt bo i amb alguns arbres amb molta fruta I molt de calibre. El hort està agafant eixe color groc, passe contra la phytophtora. La brossa se está  morint. Acapolar soques.</t>
  </si>
  <si>
    <t>Hípica acabat</t>
  </si>
  <si>
    <t>De forma continua</t>
  </si>
  <si>
    <t>Myhuanglong parece que hace más calibre, pero con tan pocas frutas no se puede afirmar nada. De sabor, ni siquiera sin mas. Molt fluixeta.</t>
  </si>
  <si>
    <t>Tres Myhuanglong autopolinizadas. Las 2 más  pequeñas estaban situadas en la planta una justo al lado de la otra, lo que afecta negativamente al peso, que aún así es bueno. Hoy 0 flores</t>
  </si>
  <si>
    <t>En general, menos la entrada, el huerto se ve bastante bien . Se ve bastante cosecha y con buen calibre. Para los árboles que hay de la mitad para atrás los árboles están llenos . He visto alguna araña en hoja incidencia baja. No he visto daño de araña ni en fruta, ni araña en fruta. Limpio de mosca blanca</t>
  </si>
  <si>
    <t>En general, el huerto está mejor de lo que estaba a principio de campaña, pero hay que dedicarle mucho más trabajo. Habría que desmamonar, destarugar y arreglar un poco los árboles injertados</t>
  </si>
  <si>
    <t>El hort se ha recuperat, pero els hernandinos acusen la araña. Els neuf estan molt be, alguns san fet molt grans. Fruta bon calibre, no veuen plagues</t>
  </si>
  <si>
    <t>Eliminats els abres espontaneos y les arujes</t>
  </si>
  <si>
    <t>Eliminats rebrots, mangraners borts i araujes</t>
  </si>
  <si>
    <t>Hort recuperat salvo vores. Se veu prou fruta, bon calibre. Orri y tangos bona pinta. Vindria be una pasa maquina fil broses seques.</t>
  </si>
  <si>
    <t>Hort de color negre impresionat. Se devia tratar pa eliminar lez soques y que no rebroten.</t>
  </si>
  <si>
    <t>Repasar arbrets</t>
  </si>
  <si>
    <t>Turbo cotonet</t>
  </si>
  <si>
    <t>T28, Nadorcott</t>
  </si>
  <si>
    <t>T22, Lane</t>
  </si>
  <si>
    <t>T22, Crisu 2</t>
  </si>
  <si>
    <t xml:space="preserve">Reg revisat </t>
  </si>
  <si>
    <t>Repasat araujes</t>
  </si>
  <si>
    <t xml:space="preserve">Hort molt bo.  Prou teronges mas o menos com any pasat. Molt bon calibre.  Fruta toca de araña en teronges en contacte, resto limpies.  No hian plagues.hia que retirar la madera.  Carlos se li pot dir als teus amics. Ficar boles en totes les puntes.  7 en la linea de eixida de la terciaria. Y 7 en el cap de dalt, 1 per cada fila de abres unin els dos ramals. </t>
  </si>
  <si>
    <t>Repasat reg</t>
  </si>
  <si>
    <t>Tallar rebrots macro i repartit javalex</t>
  </si>
  <si>
    <t>Parcela pins i brossa</t>
  </si>
  <si>
    <t xml:space="preserve">Alarma, monto de texas, dilluns se polvoriza. No MB ni araña. Se ha tancat aigua parcela pins. </t>
  </si>
  <si>
    <t>Lana es bastante movido. Si con buena cara. Se podría pasar a desmamonar algo del centro de los árboles . No se ve incidencia de plagan. Las lans . Hay fruta que se está quedando pequeña. Las mioros se sigue viendo mucha fruta pequeña y mucha incidencia de cotonet, sobre todo en la parte de arriba del huerto. Pero en general los árboles se ven bien y la fruta va creciendo . No se ve araña roja</t>
  </si>
  <si>
    <t>La injertada ha ido muy mal. Casi todas las planchas están negras . Hay algunas planchas verdes que no han brotado y tres que están brotadas . Muchas enredaderas, desmamonar valencias.</t>
  </si>
  <si>
    <t>Los injertos de ermita están mucho mejor. Y hay injertos muy grandes y árboles que están casi hechos . Se podría desmamonar aunque hay muy pocos mamones que desmamonar? Y si a que se pasa, se podría volver a apretar . Tratar los ampels esta semana .</t>
  </si>
  <si>
    <t>T23, Crisu 1/2</t>
  </si>
  <si>
    <t>La última brota ha sigut bona, els arbres quedaran prou bé  tot i que hi ha mal de trip. Hi han més  frutes de les q creem. Deuriem tirar frutes rajades, tocades, etc. La brossa és  mor</t>
  </si>
  <si>
    <t>Tot i que els arbres han patit molt, la última brotació els ha millorat. Hi ha algo de fruta, podríem fer lo mateix de tirar les frutes danyades. Repensar lo del chislett  q no tira.</t>
  </si>
  <si>
    <t>Limpiat araujes</t>
  </si>
  <si>
    <t>No acabat, soles 4 tires</t>
  </si>
  <si>
    <t>Hort millora de color y te mes fulles pero encara falta. Cullita variable de un abres a altres.  No esta masa ple.  Calibre va pasat. Podria fese parcheo, y matar el convulvus del costat de la entra del aigua</t>
  </si>
  <si>
    <t>Turbo, Texas</t>
  </si>
  <si>
    <t>T29</t>
  </si>
  <si>
    <t>T30</t>
  </si>
  <si>
    <t>T30, Orri</t>
  </si>
  <si>
    <t>El hort ha millorat molt i està  més verd, és  veu fruta però hi ha molt de cotonet encara. Revisar reg. Preparar llenya per a picar.</t>
  </si>
  <si>
    <t>Revisat araña, plantona limpia, vellse ha de tratar. Neufina molt groses, pa no cullir.  Vell molt ple calibre se defen pero si no plou ya vorem</t>
  </si>
  <si>
    <t>Seguiment ceratitis,  poblacio molt per baix umbrals</t>
  </si>
  <si>
    <t>Orris: Els arbres que estàn bé, estàn molt bé, molt verds i és  veuen frutes. Però pareix que els arbres q estaven un poc pitjor s'estàn ficant molt grocs, no oer Texas sinó fallo de clorofil·la, phytophtora? Revisar el reg I acabar de acapolar arbres. No se topeta javalex. Primerenques: Control ceratitis.  Sols les trampes arruf costat cañes pasen umbral. Y poc una trampa 2 y una 3. El resto en torno a 0,5.  No se havia limpiat desde el tratament.  Pareis que va be.  Vam partir de mes de 20.</t>
  </si>
  <si>
    <t>Control ceratitis, desde dia 14, entre 2 y 5 prr dia.  Excesiu. Hia fuga on sempre, final terciaria banca grand. Aixeta del 13 costat llimera de la mar y en lane al costst valvula neteja empalme que pert. Hort molt bon color, frutes mol negretes, pod fese fruta tota aprofitable. Hia que cuidar mosca</t>
  </si>
  <si>
    <t>Arreglar goteo</t>
  </si>
  <si>
    <t>No acabat, midnight</t>
  </si>
  <si>
    <t>midnight</t>
  </si>
  <si>
    <t>Eliminat rebrots soques</t>
  </si>
  <si>
    <t>Reparada toma</t>
  </si>
  <si>
    <t>El hort ha patit prou de Texas, falta de color generalitzada en tot el hort, les puntes en un estat més  crític perquè  no sé  están  regant. Gran problema de la campanya no les gomes tallades que el mal era molt menor del esperat, sino tot taponat de fang. Algun arbre aleatori pareix que se estiga morint. Hi ha fruta però no acaba de agafar calibre. la brossano se acaba de morir del tot. Totes les carxofes están obertes avore si se queda més  limpio, tancar-les  demà.  Esta vesprada revisar el reg instalat i fer un forat per empalmar la goma que falta (garrafa verda). Tal volta la mala cara dels arbres i perquè  no acaben de despegar  és  una gran  incidencia de PRC i serpeta. Ara esta prou morta però  ha hagut molta causan seca de rames per dins del arbres. Destarugar rames grans i pintar talls. Hort prou be. Teronges bon calibre, y en menos cotonet que any pasat. Heu fet fet mol bona faena.</t>
  </si>
  <si>
    <t>Fugues reparades</t>
  </si>
  <si>
    <t>No tapaes</t>
  </si>
  <si>
    <t>Fugues reparaes, no tapaes, dema si no pert se ha de tapar. El divendres juan te que pasar a polvorizar.  Ceretitis ha baisat la poblacio, dalt cero o una. Bais ha bsisat de 5 a 2.</t>
  </si>
  <si>
    <t>Turbo Nutricional + phytophtora</t>
  </si>
  <si>
    <t>T31</t>
  </si>
  <si>
    <t>T32</t>
  </si>
  <si>
    <t>T32, Crisu 2, No acabat</t>
  </si>
  <si>
    <t>Tubería apretada I enterrada</t>
  </si>
  <si>
    <t>Acabat, midnight</t>
  </si>
  <si>
    <t>Enterrada toma, tancar carxofes</t>
  </si>
  <si>
    <t>Idem + Ultima tira no se rega, Revisar el reg amb el aigua oberta, Tancar els grifos</t>
  </si>
  <si>
    <t xml:space="preserve">Nadorcott: Res de texas, res de MA, res De AR.  Masa calibre, cotonet tampoc sen veu.  Un ultim foliar, EN VELOCITAT MOLT LENTA, se han tancat els pasillos.  Pro fruta. Valencia: Res de MB, res de Texas, res de cotonet viu.  Mindnigth falta color. Se veu cada dia mes fruta y de calibre superior. Se ha de desmamonar, arreglar goteo y pasar brosa. </t>
  </si>
  <si>
    <t>Tuberia apretada</t>
  </si>
  <si>
    <t>Menejar ramulla</t>
  </si>
  <si>
    <t>Horts amb motl de color I molta fruta, en alguns punts falta el calibre. Necessari revisar reg instalant carxofes pero sobretot grifos on hi han carxofes. Ho veig prou limpio de plaga</t>
  </si>
  <si>
    <t>Hort millorant color. Han disminuit sintomes set, pero encara se noten. Hia que ficar gota ales puntes. URGEN arreglar fuga tuberia del 20.  Se veuen mes teronges. Van a cundir.  No plagues.Plantona bon desarrollo y color. No plsgues aunaue fulles deformaes per trips</t>
  </si>
  <si>
    <t>Mostreig de sol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</si>
</sst>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i/>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00B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xfId="0"/>
    <xf numFmtId="0" fontId="0" fillId="0" borderId="1" xfId="0" applyBorder="1"/>
    <xf numFmtId="0" fontId="1" fillId="0" borderId="1" xfId="0" applyFont="1" applyBorder="1"/>
    <xf numFmtId="0" fontId="1" fillId="0" borderId="1" xfId="0" applyFont="1" applyBorder="1" applyAlignment="1">
      <alignment horizontal="center"/>
    </xf>
    <xf numFmtId="14" fontId="0" fillId="0" borderId="1" xfId="0" applyNumberFormat="1" applyBorder="1"/>
    <xf numFmtId="0" fontId="1"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right"/>
    </xf>
    <xf numFmtId="0" fontId="0" fillId="0" borderId="0" xfId="0" applyAlignment="1">
      <alignment horizontal="right"/>
    </xf>
    <xf numFmtId="164" fontId="0" fillId="0" borderId="1" xfId="0" applyNumberFormat="1" applyBorder="1" applyAlignment="1">
      <alignment horizontal="right"/>
    </xf>
    <xf numFmtId="0" fontId="1" fillId="0" borderId="1" xfId="0" applyFont="1" applyBorder="1" applyAlignment="1">
      <alignment horizontal="left"/>
    </xf>
    <xf numFmtId="0" fontId="3" fillId="0" borderId="1" xfId="0" applyFont="1" applyBorder="1" applyAlignment="1">
      <alignment horizontal="center"/>
    </xf>
    <xf numFmtId="2" fontId="0" fillId="0" borderId="1" xfId="0" applyNumberFormat="1" applyBorder="1"/>
    <xf numFmtId="165" fontId="0" fillId="0" borderId="1" xfId="0" applyNumberFormat="1" applyBorder="1"/>
    <xf numFmtId="0" fontId="2" fillId="0" borderId="1" xfId="0" applyFont="1" applyBorder="1" applyAlignment="1">
      <alignment horizontal="center"/>
    </xf>
    <xf numFmtId="0" fontId="1" fillId="0" borderId="5" xfId="0" applyFont="1" applyBorder="1"/>
    <xf numFmtId="0" fontId="0" fillId="0" borderId="5" xfId="0" applyBorder="1"/>
    <xf numFmtId="0" fontId="0" fillId="0" borderId="5" xfId="0" applyBorder="1" applyAlignment="1">
      <alignment horizontal="right"/>
    </xf>
    <xf numFmtId="0" fontId="3" fillId="0" borderId="0" xfId="0" applyFont="1" applyAlignment="1">
      <alignment horizontal="center"/>
    </xf>
    <xf numFmtId="2" fontId="0" fillId="0" borderId="0" xfId="0" applyNumberFormat="1"/>
    <xf numFmtId="165" fontId="0" fillId="0" borderId="0" xfId="0" applyNumberFormat="1"/>
    <xf numFmtId="0" fontId="1" fillId="0" borderId="4" xfId="0" applyFont="1" applyBorder="1"/>
    <xf numFmtId="2" fontId="0" fillId="0" borderId="1" xfId="0" applyNumberFormat="1" applyBorder="1" applyAlignment="1">
      <alignment horizontal="right"/>
    </xf>
    <xf numFmtId="165" fontId="0" fillId="0" borderId="1" xfId="0" applyNumberFormat="1" applyBorder="1" applyAlignment="1">
      <alignment horizontal="right"/>
    </xf>
    <xf numFmtId="2" fontId="0" fillId="0" borderId="1" xfId="0" applyNumberFormat="1" applyBorder="1" applyAlignment="1">
      <alignment horizontal="center"/>
    </xf>
    <xf numFmtId="165" fontId="0" fillId="0" borderId="1" xfId="0" applyNumberFormat="1" applyBorder="1" applyAlignment="1">
      <alignment horizontal="center"/>
    </xf>
    <xf numFmtId="0" fontId="0" fillId="2" borderId="0" xfId="0" applyFill="1"/>
    <xf numFmtId="14" fontId="0" fillId="0" borderId="1" xfId="0" applyNumberFormat="1" applyBorder="1" applyAlignment="1">
      <alignment horizontal="right"/>
    </xf>
    <xf numFmtId="0" fontId="1"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xf>
    <xf numFmtId="0" fontId="1" fillId="0" borderId="4" xfId="0" applyFont="1" applyBorder="1" applyAlignment="1">
      <alignment horizontal="center"/>
    </xf>
    <xf numFmtId="0" fontId="1" fillId="0" borderId="1" xfId="0" applyFont="1" applyBorder="1" applyAlignment="1">
      <alignment horizontal="center"/>
    </xf>
    <xf numFmtId="0" fontId="0" fillId="0" borderId="1" xfId="0" applyBorder="1" applyAlignment="1">
      <alignment horizontal="center" wrapText="1"/>
    </xf>
    <xf numFmtId="0" fontId="1" fillId="0" borderId="3" xfId="0" applyFont="1" applyBorder="1" applyAlignment="1">
      <alignment horizont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1A301-014C-4E27-8A8C-182FAA3E81B4}">
  <dimension ref="A1:V14"/>
  <sheetViews>
    <sheetView workbookViewId="0">
      <selection activeCell="I18" sqref="I18"/>
    </sheetView>
  </sheetViews>
  <sheetFormatPr baseColWidth="10" defaultRowHeight="15" x14ac:dyDescent="0.25"/>
  <cols>
    <col min="1" max="4" width="11.5703125" style="1"/>
    <col min="18" max="18" width="21.28515625" bestFit="1" customWidth="1"/>
    <col min="19" max="19" width="17.140625" style="9"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x14ac:dyDescent="0.25">
      <c r="F2" s="2" t="s">
        <v>0</v>
      </c>
      <c r="G2" s="4">
        <v>46217</v>
      </c>
      <c r="H2" s="2" t="s">
        <v>2</v>
      </c>
      <c r="I2" s="1" t="s">
        <v>15</v>
      </c>
      <c r="J2" s="2" t="s">
        <v>11</v>
      </c>
      <c r="K2" s="1" t="s">
        <v>14</v>
      </c>
      <c r="M2" s="2" t="s">
        <v>0</v>
      </c>
      <c r="N2" s="1"/>
      <c r="O2" s="2" t="s">
        <v>6</v>
      </c>
      <c r="P2" s="1"/>
      <c r="R2" s="2" t="s">
        <v>11</v>
      </c>
      <c r="S2" s="8" t="s">
        <v>89</v>
      </c>
      <c r="U2" s="3" t="s">
        <v>0</v>
      </c>
      <c r="V2" s="3" t="s">
        <v>88</v>
      </c>
    </row>
    <row r="3" spans="1:22" x14ac:dyDescent="0.25">
      <c r="F3" s="37" t="s">
        <v>518</v>
      </c>
      <c r="G3" s="37"/>
      <c r="H3" s="37"/>
      <c r="I3" s="37"/>
      <c r="J3" s="37"/>
      <c r="K3" s="37"/>
      <c r="R3" s="2" t="s">
        <v>76</v>
      </c>
      <c r="S3" s="8" t="s">
        <v>90</v>
      </c>
    </row>
    <row r="4" spans="1:22" x14ac:dyDescent="0.25">
      <c r="F4" s="37"/>
      <c r="G4" s="37"/>
      <c r="H4" s="37"/>
      <c r="I4" s="37"/>
      <c r="J4" s="37"/>
      <c r="K4" s="37"/>
      <c r="R4" s="2" t="s">
        <v>77</v>
      </c>
      <c r="S4" s="8"/>
    </row>
    <row r="5" spans="1:22" x14ac:dyDescent="0.25">
      <c r="R5" s="2" t="s">
        <v>78</v>
      </c>
      <c r="S5" s="8" t="s">
        <v>91</v>
      </c>
    </row>
    <row r="6" spans="1:22" x14ac:dyDescent="0.25">
      <c r="R6" s="2" t="s">
        <v>92</v>
      </c>
      <c r="S6" s="8"/>
    </row>
    <row r="7" spans="1:22" x14ac:dyDescent="0.25">
      <c r="R7" s="2" t="s">
        <v>80</v>
      </c>
      <c r="S7" s="8"/>
    </row>
    <row r="8" spans="1:22" x14ac:dyDescent="0.25">
      <c r="R8" s="2" t="s">
        <v>81</v>
      </c>
      <c r="S8" s="8" t="s">
        <v>93</v>
      </c>
    </row>
    <row r="9" spans="1:22" x14ac:dyDescent="0.25">
      <c r="R9" s="2" t="s">
        <v>82</v>
      </c>
      <c r="S9" s="10">
        <f>S10+S11</f>
        <v>1.556</v>
      </c>
    </row>
    <row r="10" spans="1:22" x14ac:dyDescent="0.25">
      <c r="R10" s="2" t="s">
        <v>83</v>
      </c>
      <c r="S10" s="10">
        <v>1.556</v>
      </c>
    </row>
    <row r="11" spans="1:22" x14ac:dyDescent="0.25">
      <c r="R11" s="2" t="s">
        <v>84</v>
      </c>
      <c r="S11" s="10">
        <v>0</v>
      </c>
    </row>
    <row r="12" spans="1:22" x14ac:dyDescent="0.25">
      <c r="R12" s="2" t="s">
        <v>85</v>
      </c>
      <c r="S12" s="10">
        <f>S10</f>
        <v>1.556</v>
      </c>
    </row>
    <row r="13" spans="1:22" x14ac:dyDescent="0.25">
      <c r="R13" s="2" t="s">
        <v>86</v>
      </c>
      <c r="S13" s="10">
        <f>S12*12.032</f>
        <v>18.721792000000001</v>
      </c>
    </row>
    <row r="14" spans="1:22" x14ac:dyDescent="0.25">
      <c r="R14" s="2" t="s">
        <v>115</v>
      </c>
      <c r="S14" s="8"/>
    </row>
  </sheetData>
  <mergeCells count="5">
    <mergeCell ref="F3:K4"/>
    <mergeCell ref="M1:P1"/>
    <mergeCell ref="R1:S1"/>
    <mergeCell ref="U1:V1"/>
    <mergeCell ref="F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B347-76CB-4A82-9C77-2724CF02601D}">
  <dimension ref="A1:V14"/>
  <sheetViews>
    <sheetView topLeftCell="C1" workbookViewId="0">
      <selection activeCell="F3" sqref="F3:K4"/>
    </sheetView>
  </sheetViews>
  <sheetFormatPr baseColWidth="10" defaultRowHeight="15" x14ac:dyDescent="0.25"/>
  <cols>
    <col min="1" max="4" width="11.5703125" style="1"/>
    <col min="18" max="18" width="21.28515625" bestFit="1" customWidth="1"/>
    <col min="19" max="19" width="17.1406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x14ac:dyDescent="0.25">
      <c r="F2" s="2" t="s">
        <v>0</v>
      </c>
      <c r="G2" s="4">
        <v>46217</v>
      </c>
      <c r="H2" s="2" t="s">
        <v>2</v>
      </c>
      <c r="I2" s="1" t="s">
        <v>15</v>
      </c>
      <c r="J2" s="2" t="s">
        <v>11</v>
      </c>
      <c r="K2" s="1" t="s">
        <v>14</v>
      </c>
      <c r="M2" s="2" t="s">
        <v>0</v>
      </c>
      <c r="N2" s="1"/>
      <c r="O2" s="2" t="s">
        <v>6</v>
      </c>
      <c r="P2" s="1"/>
      <c r="R2" s="2" t="s">
        <v>11</v>
      </c>
      <c r="S2" s="8" t="s">
        <v>94</v>
      </c>
      <c r="U2" s="3" t="s">
        <v>0</v>
      </c>
      <c r="V2" s="3" t="s">
        <v>88</v>
      </c>
    </row>
    <row r="3" spans="1:22" x14ac:dyDescent="0.25">
      <c r="F3" s="37" t="s">
        <v>517</v>
      </c>
      <c r="G3" s="37"/>
      <c r="H3" s="37"/>
      <c r="I3" s="37"/>
      <c r="J3" s="37"/>
      <c r="K3" s="37"/>
      <c r="R3" s="2" t="s">
        <v>76</v>
      </c>
      <c r="S3" s="8" t="s">
        <v>100</v>
      </c>
    </row>
    <row r="4" spans="1:22" x14ac:dyDescent="0.25">
      <c r="F4" s="37"/>
      <c r="G4" s="37"/>
      <c r="H4" s="37"/>
      <c r="I4" s="37"/>
      <c r="J4" s="37"/>
      <c r="K4" s="37"/>
      <c r="R4" s="2" t="s">
        <v>77</v>
      </c>
      <c r="S4" s="8"/>
    </row>
    <row r="5" spans="1:22" x14ac:dyDescent="0.25">
      <c r="R5" s="2" t="s">
        <v>78</v>
      </c>
      <c r="S5" s="8" t="s">
        <v>94</v>
      </c>
    </row>
    <row r="6" spans="1:22" x14ac:dyDescent="0.25">
      <c r="R6" s="2" t="s">
        <v>79</v>
      </c>
      <c r="S6" s="8"/>
    </row>
    <row r="7" spans="1:22" x14ac:dyDescent="0.25">
      <c r="R7" s="2" t="s">
        <v>80</v>
      </c>
      <c r="S7" s="8"/>
    </row>
    <row r="8" spans="1:22" x14ac:dyDescent="0.25">
      <c r="R8" s="2" t="s">
        <v>81</v>
      </c>
      <c r="S8" s="8" t="s">
        <v>93</v>
      </c>
    </row>
    <row r="9" spans="1:22" x14ac:dyDescent="0.25">
      <c r="R9" s="2" t="s">
        <v>82</v>
      </c>
      <c r="S9" s="8">
        <f>S10+S11</f>
        <v>0.90620000000000001</v>
      </c>
    </row>
    <row r="10" spans="1:22" x14ac:dyDescent="0.25">
      <c r="R10" s="2" t="s">
        <v>83</v>
      </c>
      <c r="S10" s="8">
        <v>0.90620000000000001</v>
      </c>
    </row>
    <row r="11" spans="1:22" x14ac:dyDescent="0.25">
      <c r="R11" s="2" t="s">
        <v>84</v>
      </c>
      <c r="S11" s="8">
        <v>0</v>
      </c>
    </row>
    <row r="12" spans="1:22" x14ac:dyDescent="0.25">
      <c r="R12" s="2" t="s">
        <v>85</v>
      </c>
      <c r="S12" s="8">
        <f>S10</f>
        <v>0.90620000000000001</v>
      </c>
    </row>
    <row r="13" spans="1:22" x14ac:dyDescent="0.25">
      <c r="R13" s="2" t="s">
        <v>86</v>
      </c>
      <c r="S13" s="8">
        <f>S12*12.032</f>
        <v>10.9033984</v>
      </c>
    </row>
    <row r="14" spans="1:22" x14ac:dyDescent="0.25">
      <c r="R14" s="2" t="s">
        <v>115</v>
      </c>
      <c r="S14" s="8"/>
    </row>
  </sheetData>
  <mergeCells count="5">
    <mergeCell ref="F3:K4"/>
    <mergeCell ref="M1:P1"/>
    <mergeCell ref="R1:S1"/>
    <mergeCell ref="U1:V1"/>
    <mergeCell ref="F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F2783-0C06-428E-A0EA-FB07E3F89E58}">
  <dimension ref="A1:X119"/>
  <sheetViews>
    <sheetView topLeftCell="A93" workbookViewId="0">
      <selection activeCell="M114" sqref="M114"/>
    </sheetView>
  </sheetViews>
  <sheetFormatPr baseColWidth="10" defaultRowHeight="15" x14ac:dyDescent="0.25"/>
  <cols>
    <col min="1" max="1" width="11.5703125" style="7"/>
    <col min="2" max="2" width="26.140625" style="7" bestFit="1" customWidth="1"/>
    <col min="3" max="3" width="11.5703125" style="7"/>
    <col min="4" max="4" width="22" style="7" bestFit="1" customWidth="1"/>
    <col min="13" max="13" width="12.42578125" bestFit="1" customWidth="1"/>
    <col min="14" max="14" width="13.28515625" bestFit="1" customWidth="1"/>
    <col min="18" max="18" width="14.28515625" bestFit="1" customWidth="1"/>
    <col min="20" max="20" width="21.28515625" bestFit="1" customWidth="1"/>
    <col min="21" max="21" width="19.7109375" bestFit="1" customWidth="1"/>
    <col min="23" max="23" width="11.5703125" style="7"/>
    <col min="24" max="24" width="15" style="7" bestFit="1" customWidth="1"/>
  </cols>
  <sheetData>
    <row r="1" spans="1:24" x14ac:dyDescent="0.25">
      <c r="A1" s="3" t="s">
        <v>0</v>
      </c>
      <c r="B1" s="3" t="s">
        <v>1</v>
      </c>
      <c r="C1" s="3" t="s">
        <v>2</v>
      </c>
      <c r="D1" s="3" t="s">
        <v>3</v>
      </c>
      <c r="F1" s="36" t="s">
        <v>4</v>
      </c>
      <c r="G1" s="36"/>
      <c r="H1" s="36"/>
      <c r="I1" s="36"/>
      <c r="J1" s="36"/>
      <c r="K1" s="36"/>
      <c r="M1" s="36" t="s">
        <v>5</v>
      </c>
      <c r="N1" s="36"/>
      <c r="O1" s="36"/>
      <c r="P1" s="36"/>
      <c r="Q1" s="36"/>
      <c r="R1" s="36"/>
      <c r="T1" s="34" t="s">
        <v>7</v>
      </c>
      <c r="U1" s="35"/>
      <c r="W1" s="33" t="s">
        <v>87</v>
      </c>
      <c r="X1" s="33"/>
    </row>
    <row r="2" spans="1:24" x14ac:dyDescent="0.25">
      <c r="A2" s="6">
        <v>46195</v>
      </c>
      <c r="B2" s="7" t="s">
        <v>8</v>
      </c>
      <c r="C2" s="7" t="s">
        <v>9</v>
      </c>
      <c r="D2" s="7" t="s">
        <v>10</v>
      </c>
      <c r="F2" s="2" t="s">
        <v>0</v>
      </c>
      <c r="G2" s="4">
        <v>46195</v>
      </c>
      <c r="H2" s="2" t="s">
        <v>2</v>
      </c>
      <c r="I2" s="1" t="s">
        <v>9</v>
      </c>
      <c r="J2" s="2" t="s">
        <v>11</v>
      </c>
      <c r="K2" s="1" t="s">
        <v>12</v>
      </c>
      <c r="M2" s="16" t="s">
        <v>0</v>
      </c>
      <c r="N2" s="4">
        <v>46101</v>
      </c>
      <c r="O2" s="22" t="s">
        <v>6</v>
      </c>
      <c r="P2" s="18" t="s">
        <v>282</v>
      </c>
      <c r="Q2" s="11" t="s">
        <v>11</v>
      </c>
      <c r="R2" s="8" t="s">
        <v>326</v>
      </c>
      <c r="T2" s="2" t="s">
        <v>11</v>
      </c>
      <c r="U2" s="8" t="s">
        <v>96</v>
      </c>
      <c r="W2" s="3" t="s">
        <v>0</v>
      </c>
      <c r="X2" s="3" t="s">
        <v>88</v>
      </c>
    </row>
    <row r="3" spans="1:24" x14ac:dyDescent="0.25">
      <c r="A3" s="6">
        <v>46198</v>
      </c>
      <c r="B3" s="7" t="s">
        <v>343</v>
      </c>
      <c r="C3" s="7" t="s">
        <v>344</v>
      </c>
      <c r="D3" s="7" t="s">
        <v>345</v>
      </c>
      <c r="F3" s="37" t="s">
        <v>13</v>
      </c>
      <c r="G3" s="37"/>
      <c r="H3" s="37"/>
      <c r="I3" s="37"/>
      <c r="J3" s="37"/>
      <c r="K3" s="37"/>
      <c r="M3" s="15" t="s">
        <v>283</v>
      </c>
      <c r="N3" s="3" t="s">
        <v>315</v>
      </c>
      <c r="O3" s="5"/>
      <c r="T3" s="2" t="s">
        <v>76</v>
      </c>
      <c r="U3" s="8" t="s">
        <v>99</v>
      </c>
    </row>
    <row r="4" spans="1:24" x14ac:dyDescent="0.25">
      <c r="A4" s="6">
        <v>46204</v>
      </c>
      <c r="B4" s="7" t="s">
        <v>365</v>
      </c>
      <c r="C4" s="7" t="s">
        <v>9</v>
      </c>
      <c r="D4" s="7" t="s">
        <v>56</v>
      </c>
      <c r="F4" s="37"/>
      <c r="G4" s="37"/>
      <c r="H4" s="37"/>
      <c r="I4" s="37"/>
      <c r="J4" s="37"/>
      <c r="K4" s="37"/>
      <c r="M4" s="15" t="s">
        <v>284</v>
      </c>
      <c r="N4" s="12" t="s">
        <v>314</v>
      </c>
      <c r="O4" s="12" t="s">
        <v>318</v>
      </c>
      <c r="T4" s="2" t="s">
        <v>77</v>
      </c>
      <c r="U4" s="8"/>
    </row>
    <row r="5" spans="1:24" x14ac:dyDescent="0.25">
      <c r="A5" s="6">
        <v>46205</v>
      </c>
      <c r="B5" s="7" t="s">
        <v>30</v>
      </c>
      <c r="C5" s="7" t="s">
        <v>31</v>
      </c>
      <c r="D5" s="7" t="s">
        <v>32</v>
      </c>
      <c r="F5" s="2" t="s">
        <v>0</v>
      </c>
      <c r="G5" s="4">
        <v>46196</v>
      </c>
      <c r="H5" s="2" t="s">
        <v>2</v>
      </c>
      <c r="I5" s="1" t="s">
        <v>38</v>
      </c>
      <c r="J5" s="2" t="s">
        <v>11</v>
      </c>
      <c r="K5" s="1" t="s">
        <v>39</v>
      </c>
      <c r="M5" s="11" t="s">
        <v>285</v>
      </c>
      <c r="N5" s="13">
        <v>1.2</v>
      </c>
      <c r="O5" s="25" t="s">
        <v>56</v>
      </c>
      <c r="T5" s="2" t="s">
        <v>78</v>
      </c>
      <c r="U5" s="8" t="s">
        <v>101</v>
      </c>
    </row>
    <row r="6" spans="1:24" x14ac:dyDescent="0.25">
      <c r="A6" s="6">
        <v>46213</v>
      </c>
      <c r="B6" s="7" t="s">
        <v>8</v>
      </c>
      <c r="C6" s="7" t="s">
        <v>9</v>
      </c>
      <c r="D6" s="7" t="s">
        <v>477</v>
      </c>
      <c r="F6" s="32" t="s">
        <v>40</v>
      </c>
      <c r="G6" s="32"/>
      <c r="H6" s="32"/>
      <c r="I6" s="32"/>
      <c r="J6" s="32"/>
      <c r="K6" s="32"/>
      <c r="M6" s="11" t="s">
        <v>286</v>
      </c>
      <c r="N6" s="14">
        <v>8.1999999999999993</v>
      </c>
      <c r="O6" s="26" t="s">
        <v>319</v>
      </c>
      <c r="T6" s="2" t="s">
        <v>92</v>
      </c>
      <c r="U6" s="8" t="s">
        <v>102</v>
      </c>
    </row>
    <row r="7" spans="1:24" x14ac:dyDescent="0.25">
      <c r="A7" s="6">
        <v>46219</v>
      </c>
      <c r="B7" s="7" t="s">
        <v>30</v>
      </c>
      <c r="C7" s="7" t="s">
        <v>31</v>
      </c>
      <c r="D7" s="7" t="s">
        <v>538</v>
      </c>
      <c r="F7" s="32"/>
      <c r="G7" s="32"/>
      <c r="H7" s="32"/>
      <c r="I7" s="32"/>
      <c r="J7" s="32"/>
      <c r="K7" s="32"/>
      <c r="M7" s="11" t="s">
        <v>287</v>
      </c>
      <c r="N7" s="1">
        <v>0.15</v>
      </c>
      <c r="O7" s="7" t="s">
        <v>320</v>
      </c>
      <c r="T7" s="2" t="s">
        <v>80</v>
      </c>
      <c r="U7" s="8" t="s">
        <v>103</v>
      </c>
    </row>
    <row r="8" spans="1:24" x14ac:dyDescent="0.25">
      <c r="A8" s="6">
        <v>46224</v>
      </c>
      <c r="B8" s="7" t="s">
        <v>573</v>
      </c>
      <c r="C8" s="7" t="s">
        <v>9</v>
      </c>
      <c r="D8" s="7" t="s">
        <v>574</v>
      </c>
      <c r="F8" s="2" t="s">
        <v>0</v>
      </c>
      <c r="G8" s="4">
        <v>46204</v>
      </c>
      <c r="H8" s="2" t="s">
        <v>2</v>
      </c>
      <c r="I8" s="1" t="s">
        <v>9</v>
      </c>
      <c r="J8" s="2" t="s">
        <v>11</v>
      </c>
      <c r="K8" s="1" t="s">
        <v>14</v>
      </c>
      <c r="M8" s="11" t="s">
        <v>288</v>
      </c>
      <c r="N8" s="1">
        <v>0.7</v>
      </c>
      <c r="O8" s="25" t="s">
        <v>327</v>
      </c>
      <c r="T8" s="2" t="s">
        <v>81</v>
      </c>
      <c r="U8" s="8" t="s">
        <v>93</v>
      </c>
    </row>
    <row r="9" spans="1:24" ht="14.45" customHeight="1" x14ac:dyDescent="0.25">
      <c r="A9" s="6">
        <v>46225</v>
      </c>
      <c r="B9" s="7" t="s">
        <v>30</v>
      </c>
      <c r="C9" s="7" t="s">
        <v>31</v>
      </c>
      <c r="D9" s="7" t="s">
        <v>595</v>
      </c>
      <c r="F9" s="32" t="s">
        <v>366</v>
      </c>
      <c r="G9" s="32"/>
      <c r="H9" s="32"/>
      <c r="I9" s="32"/>
      <c r="J9" s="32"/>
      <c r="K9" s="32"/>
      <c r="M9" s="11" t="s">
        <v>289</v>
      </c>
      <c r="N9" s="13">
        <v>1.2</v>
      </c>
      <c r="O9" s="25" t="s">
        <v>327</v>
      </c>
      <c r="T9" s="2" t="s">
        <v>82</v>
      </c>
      <c r="U9" s="8">
        <f>U10+U11</f>
        <v>0.98480000000000001</v>
      </c>
    </row>
    <row r="10" spans="1:24" x14ac:dyDescent="0.25">
      <c r="A10" s="6">
        <v>46231</v>
      </c>
      <c r="B10" s="7" t="s">
        <v>670</v>
      </c>
      <c r="C10" s="7" t="s">
        <v>9</v>
      </c>
      <c r="D10" s="7" t="s">
        <v>671</v>
      </c>
      <c r="F10" s="32"/>
      <c r="G10" s="32"/>
      <c r="H10" s="32"/>
      <c r="I10" s="32"/>
      <c r="J10" s="32"/>
      <c r="K10" s="32"/>
      <c r="M10" s="11" t="s">
        <v>290</v>
      </c>
      <c r="N10" s="13">
        <v>3</v>
      </c>
      <c r="O10" s="25" t="s">
        <v>328</v>
      </c>
      <c r="T10" s="2" t="s">
        <v>83</v>
      </c>
      <c r="U10" s="8">
        <v>0.98480000000000001</v>
      </c>
    </row>
    <row r="11" spans="1:24" x14ac:dyDescent="0.25">
      <c r="A11" s="6">
        <v>46231</v>
      </c>
      <c r="B11" s="7" t="s">
        <v>8</v>
      </c>
      <c r="C11" s="7" t="s">
        <v>9</v>
      </c>
      <c r="D11" s="7" t="s">
        <v>672</v>
      </c>
      <c r="F11" s="32"/>
      <c r="G11" s="32"/>
      <c r="H11" s="32"/>
      <c r="I11" s="32"/>
      <c r="J11" s="32"/>
      <c r="K11" s="32"/>
      <c r="M11" s="11" t="s">
        <v>291</v>
      </c>
      <c r="N11" s="13">
        <v>3</v>
      </c>
      <c r="O11" s="7" t="s">
        <v>328</v>
      </c>
      <c r="T11" s="2" t="s">
        <v>84</v>
      </c>
      <c r="U11" s="8">
        <v>0</v>
      </c>
    </row>
    <row r="12" spans="1:24" x14ac:dyDescent="0.25">
      <c r="A12" s="6">
        <v>46236</v>
      </c>
      <c r="B12" s="7" t="s">
        <v>30</v>
      </c>
      <c r="C12" s="7" t="s">
        <v>31</v>
      </c>
      <c r="D12" s="7" t="s">
        <v>696</v>
      </c>
      <c r="F12" s="32"/>
      <c r="G12" s="32"/>
      <c r="H12" s="32"/>
      <c r="I12" s="32"/>
      <c r="J12" s="32"/>
      <c r="K12" s="32"/>
      <c r="M12" s="11" t="s">
        <v>292</v>
      </c>
      <c r="N12" s="13">
        <v>0.17</v>
      </c>
      <c r="O12" s="25" t="s">
        <v>319</v>
      </c>
      <c r="T12" s="2" t="s">
        <v>115</v>
      </c>
      <c r="U12" s="8"/>
    </row>
    <row r="13" spans="1:24" x14ac:dyDescent="0.25">
      <c r="A13" s="6">
        <v>46242</v>
      </c>
      <c r="B13" s="7" t="s">
        <v>825</v>
      </c>
      <c r="C13" s="7" t="s">
        <v>385</v>
      </c>
      <c r="D13" s="7" t="s">
        <v>826</v>
      </c>
      <c r="F13" s="32"/>
      <c r="G13" s="32"/>
      <c r="H13" s="32"/>
      <c r="I13" s="32"/>
      <c r="J13" s="32"/>
      <c r="K13" s="32"/>
      <c r="M13" s="11" t="s">
        <v>293</v>
      </c>
      <c r="N13" s="13">
        <v>2.4</v>
      </c>
      <c r="O13" s="26" t="s">
        <v>320</v>
      </c>
      <c r="T13" s="2" t="s">
        <v>11</v>
      </c>
      <c r="U13" s="8" t="s">
        <v>97</v>
      </c>
    </row>
    <row r="14" spans="1:24" x14ac:dyDescent="0.25">
      <c r="A14" s="6">
        <v>46242</v>
      </c>
      <c r="B14" s="7" t="s">
        <v>827</v>
      </c>
      <c r="C14" s="7" t="s">
        <v>385</v>
      </c>
      <c r="D14" s="7" t="s">
        <v>12</v>
      </c>
      <c r="F14" s="2" t="s">
        <v>0</v>
      </c>
      <c r="G14" s="4">
        <v>46212</v>
      </c>
      <c r="H14" s="2" t="s">
        <v>2</v>
      </c>
      <c r="I14" s="1" t="s">
        <v>35</v>
      </c>
      <c r="J14" s="2" t="s">
        <v>11</v>
      </c>
      <c r="K14" s="1" t="s">
        <v>12</v>
      </c>
      <c r="M14" s="11" t="s">
        <v>294</v>
      </c>
      <c r="N14" s="1">
        <v>36.200000000000003</v>
      </c>
      <c r="O14" s="7" t="s">
        <v>319</v>
      </c>
      <c r="T14" s="2" t="s">
        <v>76</v>
      </c>
      <c r="U14" s="8" t="s">
        <v>104</v>
      </c>
    </row>
    <row r="15" spans="1:24" x14ac:dyDescent="0.25">
      <c r="A15" s="6">
        <v>46242</v>
      </c>
      <c r="B15" s="7" t="s">
        <v>828</v>
      </c>
      <c r="C15" s="7" t="s">
        <v>385</v>
      </c>
      <c r="D15" s="7" t="s">
        <v>12</v>
      </c>
      <c r="F15" s="32" t="s">
        <v>470</v>
      </c>
      <c r="G15" s="32"/>
      <c r="H15" s="32"/>
      <c r="I15" s="32"/>
      <c r="J15" s="32"/>
      <c r="K15" s="32"/>
      <c r="M15" s="11" t="s">
        <v>295</v>
      </c>
      <c r="N15" s="1">
        <v>484</v>
      </c>
      <c r="O15" s="7" t="s">
        <v>319</v>
      </c>
      <c r="T15" s="2" t="s">
        <v>77</v>
      </c>
      <c r="U15" s="8"/>
    </row>
    <row r="16" spans="1:24" x14ac:dyDescent="0.25">
      <c r="A16" s="6">
        <v>46252</v>
      </c>
      <c r="B16" s="7" t="s">
        <v>922</v>
      </c>
      <c r="C16" s="7" t="s">
        <v>350</v>
      </c>
      <c r="D16" s="7" t="s">
        <v>95</v>
      </c>
      <c r="F16" s="32"/>
      <c r="G16" s="32"/>
      <c r="H16" s="32"/>
      <c r="I16" s="32"/>
      <c r="J16" s="32"/>
      <c r="K16" s="32"/>
      <c r="M16" s="11" t="s">
        <v>296</v>
      </c>
      <c r="N16" s="8">
        <v>3780</v>
      </c>
      <c r="O16" s="7" t="s">
        <v>319</v>
      </c>
      <c r="T16" s="2" t="s">
        <v>78</v>
      </c>
      <c r="U16" s="8" t="s">
        <v>101</v>
      </c>
    </row>
    <row r="17" spans="1:21" x14ac:dyDescent="0.25">
      <c r="A17" s="6">
        <v>46260</v>
      </c>
      <c r="B17" s="7" t="s">
        <v>993</v>
      </c>
      <c r="C17" s="7" t="s">
        <v>22</v>
      </c>
      <c r="D17" s="7" t="s">
        <v>994</v>
      </c>
      <c r="F17" s="2" t="s">
        <v>0</v>
      </c>
      <c r="G17" s="4">
        <v>46212</v>
      </c>
      <c r="H17" s="2" t="s">
        <v>2</v>
      </c>
      <c r="I17" s="1" t="s">
        <v>35</v>
      </c>
      <c r="J17" s="2" t="s">
        <v>11</v>
      </c>
      <c r="K17" s="1" t="s">
        <v>39</v>
      </c>
      <c r="M17" s="11" t="s">
        <v>297</v>
      </c>
      <c r="N17" s="8">
        <v>328</v>
      </c>
      <c r="O17" s="7" t="s">
        <v>323</v>
      </c>
      <c r="T17" s="2" t="s">
        <v>92</v>
      </c>
      <c r="U17" s="8" t="s">
        <v>102</v>
      </c>
    </row>
    <row r="18" spans="1:21" ht="14.45" customHeight="1" x14ac:dyDescent="0.25">
      <c r="A18" s="6">
        <v>46262</v>
      </c>
      <c r="B18" s="7" t="s">
        <v>987</v>
      </c>
      <c r="C18" s="7" t="s">
        <v>31</v>
      </c>
      <c r="D18" s="7" t="s">
        <v>1005</v>
      </c>
      <c r="F18" s="32" t="s">
        <v>471</v>
      </c>
      <c r="G18" s="32"/>
      <c r="H18" s="32"/>
      <c r="I18" s="32"/>
      <c r="J18" s="32"/>
      <c r="K18" s="32"/>
      <c r="M18" s="11" t="s">
        <v>298</v>
      </c>
      <c r="N18" s="8">
        <v>40</v>
      </c>
      <c r="O18" s="7" t="s">
        <v>327</v>
      </c>
      <c r="T18" s="2" t="s">
        <v>80</v>
      </c>
      <c r="U18" s="8" t="s">
        <v>103</v>
      </c>
    </row>
    <row r="19" spans="1:21" x14ac:dyDescent="0.25">
      <c r="A19" s="6">
        <v>46275</v>
      </c>
      <c r="B19" s="7" t="s">
        <v>1110</v>
      </c>
      <c r="C19" s="7" t="s">
        <v>22</v>
      </c>
      <c r="D19" s="7" t="s">
        <v>1092</v>
      </c>
      <c r="F19" s="32"/>
      <c r="G19" s="32"/>
      <c r="H19" s="32"/>
      <c r="I19" s="32"/>
      <c r="J19" s="32"/>
      <c r="K19" s="32"/>
      <c r="M19" s="11" t="s">
        <v>299</v>
      </c>
      <c r="N19" s="8">
        <v>0.64</v>
      </c>
      <c r="O19" s="7" t="s">
        <v>321</v>
      </c>
      <c r="T19" s="2" t="s">
        <v>81</v>
      </c>
      <c r="U19" s="8" t="s">
        <v>93</v>
      </c>
    </row>
    <row r="20" spans="1:21" x14ac:dyDescent="0.25">
      <c r="A20" s="6">
        <v>46279</v>
      </c>
      <c r="B20" s="7" t="s">
        <v>343</v>
      </c>
      <c r="C20" s="7" t="s">
        <v>344</v>
      </c>
      <c r="D20" s="7" t="s">
        <v>1029</v>
      </c>
      <c r="F20" s="32"/>
      <c r="G20" s="32"/>
      <c r="H20" s="32"/>
      <c r="I20" s="32"/>
      <c r="J20" s="32"/>
      <c r="K20" s="32"/>
      <c r="M20" s="11" t="s">
        <v>300</v>
      </c>
      <c r="N20" s="8">
        <v>53</v>
      </c>
      <c r="O20" s="7" t="s">
        <v>321</v>
      </c>
      <c r="T20" s="2" t="s">
        <v>82</v>
      </c>
      <c r="U20" s="8">
        <f>U21+U22</f>
        <v>0.8831</v>
      </c>
    </row>
    <row r="21" spans="1:21" x14ac:dyDescent="0.25">
      <c r="A21" s="6">
        <v>46279</v>
      </c>
      <c r="B21" s="7" t="s">
        <v>1076</v>
      </c>
      <c r="C21" s="7" t="s">
        <v>588</v>
      </c>
      <c r="D21" s="7" t="s">
        <v>1159</v>
      </c>
      <c r="F21" s="32"/>
      <c r="G21" s="32"/>
      <c r="H21" s="32"/>
      <c r="I21" s="32"/>
      <c r="J21" s="32"/>
      <c r="K21" s="32"/>
      <c r="M21" s="11" t="s">
        <v>301</v>
      </c>
      <c r="N21" s="8">
        <v>5.9</v>
      </c>
      <c r="O21" s="7" t="s">
        <v>321</v>
      </c>
      <c r="T21" s="2" t="s">
        <v>83</v>
      </c>
      <c r="U21" s="8">
        <v>0.8831</v>
      </c>
    </row>
    <row r="22" spans="1:21" x14ac:dyDescent="0.25">
      <c r="A22" s="6">
        <v>46281</v>
      </c>
      <c r="B22" s="7" t="s">
        <v>1176</v>
      </c>
      <c r="C22" s="7" t="s">
        <v>22</v>
      </c>
      <c r="D22" s="7" t="s">
        <v>12</v>
      </c>
      <c r="F22" s="2" t="s">
        <v>0</v>
      </c>
      <c r="G22" s="4">
        <v>46213</v>
      </c>
      <c r="H22" s="2" t="s">
        <v>2</v>
      </c>
      <c r="I22" s="1" t="s">
        <v>35</v>
      </c>
      <c r="J22" s="2" t="s">
        <v>11</v>
      </c>
      <c r="K22" s="1" t="s">
        <v>39</v>
      </c>
      <c r="M22" s="11" t="s">
        <v>302</v>
      </c>
      <c r="N22" s="8">
        <v>260</v>
      </c>
      <c r="O22" s="7" t="s">
        <v>322</v>
      </c>
      <c r="T22" s="2" t="s">
        <v>84</v>
      </c>
      <c r="U22" s="8">
        <v>0</v>
      </c>
    </row>
    <row r="23" spans="1:21" x14ac:dyDescent="0.25">
      <c r="F23" s="32" t="s">
        <v>494</v>
      </c>
      <c r="G23" s="32"/>
      <c r="H23" s="32"/>
      <c r="I23" s="32"/>
      <c r="J23" s="32"/>
      <c r="K23" s="32"/>
      <c r="M23" s="11" t="s">
        <v>303</v>
      </c>
      <c r="N23" s="8">
        <v>13</v>
      </c>
      <c r="O23" s="7" t="s">
        <v>322</v>
      </c>
      <c r="T23" s="2" t="s">
        <v>115</v>
      </c>
      <c r="U23" s="8"/>
    </row>
    <row r="24" spans="1:21" x14ac:dyDescent="0.25">
      <c r="F24" s="32"/>
      <c r="G24" s="32"/>
      <c r="H24" s="32"/>
      <c r="I24" s="32"/>
      <c r="J24" s="32"/>
      <c r="K24" s="32"/>
      <c r="M24" s="11" t="s">
        <v>304</v>
      </c>
      <c r="N24" s="8">
        <v>0.1</v>
      </c>
      <c r="O24" s="25" t="s">
        <v>320</v>
      </c>
      <c r="T24" s="2" t="s">
        <v>11</v>
      </c>
      <c r="U24" s="8" t="s">
        <v>98</v>
      </c>
    </row>
    <row r="25" spans="1:21" x14ac:dyDescent="0.25">
      <c r="F25" s="2" t="s">
        <v>0</v>
      </c>
      <c r="G25" s="4">
        <v>46218</v>
      </c>
      <c r="H25" s="2" t="s">
        <v>2</v>
      </c>
      <c r="I25" s="1" t="s">
        <v>47</v>
      </c>
      <c r="J25" s="2" t="s">
        <v>11</v>
      </c>
      <c r="K25" s="1" t="s">
        <v>14</v>
      </c>
      <c r="M25" s="11" t="s">
        <v>305</v>
      </c>
      <c r="N25" s="8">
        <v>4.2</v>
      </c>
      <c r="O25" s="7" t="s">
        <v>329</v>
      </c>
      <c r="T25" s="2" t="s">
        <v>76</v>
      </c>
      <c r="U25" s="8" t="s">
        <v>105</v>
      </c>
    </row>
    <row r="26" spans="1:21" ht="14.45" customHeight="1" x14ac:dyDescent="0.25">
      <c r="F26" s="32" t="s">
        <v>524</v>
      </c>
      <c r="G26" s="32"/>
      <c r="H26" s="32"/>
      <c r="I26" s="32"/>
      <c r="J26" s="32"/>
      <c r="K26" s="32"/>
      <c r="M26" s="11" t="s">
        <v>306</v>
      </c>
      <c r="N26" s="24">
        <v>11.5</v>
      </c>
      <c r="O26" s="26" t="s">
        <v>330</v>
      </c>
      <c r="T26" s="2" t="s">
        <v>77</v>
      </c>
      <c r="U26" s="8"/>
    </row>
    <row r="27" spans="1:21" x14ac:dyDescent="0.25">
      <c r="F27" s="32"/>
      <c r="G27" s="32"/>
      <c r="H27" s="32"/>
      <c r="I27" s="32"/>
      <c r="J27" s="32"/>
      <c r="K27" s="32"/>
      <c r="M27" s="11" t="s">
        <v>307</v>
      </c>
      <c r="N27" s="8">
        <v>0.7</v>
      </c>
      <c r="O27" s="7" t="s">
        <v>325</v>
      </c>
      <c r="T27" s="2" t="s">
        <v>78</v>
      </c>
      <c r="U27" s="8" t="s">
        <v>101</v>
      </c>
    </row>
    <row r="28" spans="1:21" x14ac:dyDescent="0.25">
      <c r="F28" s="32"/>
      <c r="G28" s="32"/>
      <c r="H28" s="32"/>
      <c r="I28" s="32"/>
      <c r="J28" s="32"/>
      <c r="K28" s="32"/>
      <c r="M28" s="11" t="s">
        <v>308</v>
      </c>
      <c r="N28" s="8">
        <v>7.8</v>
      </c>
      <c r="O28" s="7" t="s">
        <v>320</v>
      </c>
      <c r="T28" s="2" t="s">
        <v>92</v>
      </c>
      <c r="U28" s="8" t="s">
        <v>102</v>
      </c>
    </row>
    <row r="29" spans="1:21" x14ac:dyDescent="0.25">
      <c r="F29" s="2" t="s">
        <v>0</v>
      </c>
      <c r="G29" s="4">
        <v>46219</v>
      </c>
      <c r="H29" s="2" t="s">
        <v>2</v>
      </c>
      <c r="I29" s="1" t="s">
        <v>523</v>
      </c>
      <c r="J29" s="2" t="s">
        <v>11</v>
      </c>
      <c r="K29" s="1" t="s">
        <v>14</v>
      </c>
      <c r="M29" s="11" t="s">
        <v>309</v>
      </c>
      <c r="N29" s="8">
        <v>42.3</v>
      </c>
      <c r="O29" s="7" t="s">
        <v>56</v>
      </c>
      <c r="T29" s="2" t="s">
        <v>80</v>
      </c>
      <c r="U29" s="8" t="s">
        <v>103</v>
      </c>
    </row>
    <row r="30" spans="1:21" x14ac:dyDescent="0.25">
      <c r="F30" s="32" t="s">
        <v>537</v>
      </c>
      <c r="G30" s="32"/>
      <c r="H30" s="32"/>
      <c r="I30" s="32"/>
      <c r="J30" s="32"/>
      <c r="K30" s="32"/>
      <c r="M30" s="11" t="s">
        <v>310</v>
      </c>
      <c r="N30" s="8">
        <v>23</v>
      </c>
      <c r="O30" s="7" t="s">
        <v>56</v>
      </c>
      <c r="T30" s="2" t="s">
        <v>81</v>
      </c>
      <c r="U30" s="8" t="s">
        <v>93</v>
      </c>
    </row>
    <row r="31" spans="1:21" x14ac:dyDescent="0.25">
      <c r="F31" s="32"/>
      <c r="G31" s="32"/>
      <c r="H31" s="32"/>
      <c r="I31" s="32"/>
      <c r="J31" s="32"/>
      <c r="K31" s="32"/>
      <c r="M31" s="11" t="s">
        <v>311</v>
      </c>
      <c r="N31" s="8">
        <v>34.700000000000003</v>
      </c>
      <c r="O31" s="7" t="s">
        <v>56</v>
      </c>
      <c r="T31" s="2" t="s">
        <v>82</v>
      </c>
      <c r="U31" s="8">
        <f>U32+U33</f>
        <v>5.4399999999999997E-2</v>
      </c>
    </row>
    <row r="32" spans="1:21" x14ac:dyDescent="0.25">
      <c r="F32" s="2" t="s">
        <v>0</v>
      </c>
      <c r="G32" s="4">
        <v>46223</v>
      </c>
      <c r="H32" s="2" t="s">
        <v>2</v>
      </c>
      <c r="I32" s="1" t="s">
        <v>47</v>
      </c>
      <c r="J32" s="2" t="s">
        <v>11</v>
      </c>
      <c r="K32" s="1" t="s">
        <v>14</v>
      </c>
      <c r="T32" s="2" t="s">
        <v>83</v>
      </c>
      <c r="U32" s="8">
        <v>5.4399999999999997E-2</v>
      </c>
    </row>
    <row r="33" spans="6:21" x14ac:dyDescent="0.25">
      <c r="F33" s="32" t="s">
        <v>565</v>
      </c>
      <c r="G33" s="32"/>
      <c r="H33" s="32"/>
      <c r="I33" s="32"/>
      <c r="J33" s="32"/>
      <c r="K33" s="32"/>
      <c r="T33" s="2" t="s">
        <v>84</v>
      </c>
      <c r="U33" s="8">
        <v>0</v>
      </c>
    </row>
    <row r="34" spans="6:21" x14ac:dyDescent="0.25">
      <c r="F34" s="32"/>
      <c r="G34" s="32"/>
      <c r="H34" s="32"/>
      <c r="I34" s="32"/>
      <c r="J34" s="32"/>
      <c r="K34" s="32"/>
      <c r="T34" s="2" t="s">
        <v>115</v>
      </c>
      <c r="U34" s="8"/>
    </row>
    <row r="35" spans="6:21" x14ac:dyDescent="0.25">
      <c r="F35" s="2" t="s">
        <v>0</v>
      </c>
      <c r="G35" s="4">
        <v>46224</v>
      </c>
      <c r="H35" s="2" t="s">
        <v>2</v>
      </c>
      <c r="I35" s="1" t="s">
        <v>22</v>
      </c>
      <c r="J35" s="2" t="s">
        <v>11</v>
      </c>
      <c r="K35" s="1" t="s">
        <v>12</v>
      </c>
      <c r="T35" s="2" t="s">
        <v>11</v>
      </c>
      <c r="U35" s="8" t="s">
        <v>106</v>
      </c>
    </row>
    <row r="36" spans="6:21" ht="14.45" customHeight="1" x14ac:dyDescent="0.25">
      <c r="F36" s="32" t="s">
        <v>575</v>
      </c>
      <c r="G36" s="32"/>
      <c r="H36" s="32"/>
      <c r="I36" s="32"/>
      <c r="J36" s="32"/>
      <c r="K36" s="32"/>
      <c r="T36" s="2" t="s">
        <v>76</v>
      </c>
      <c r="U36" s="8" t="s">
        <v>108</v>
      </c>
    </row>
    <row r="37" spans="6:21" x14ac:dyDescent="0.25">
      <c r="F37" s="32"/>
      <c r="G37" s="32"/>
      <c r="H37" s="32"/>
      <c r="I37" s="32"/>
      <c r="J37" s="32"/>
      <c r="K37" s="32"/>
      <c r="T37" s="2" t="s">
        <v>77</v>
      </c>
      <c r="U37" s="8"/>
    </row>
    <row r="38" spans="6:21" x14ac:dyDescent="0.25">
      <c r="F38" s="32"/>
      <c r="G38" s="32"/>
      <c r="H38" s="32"/>
      <c r="I38" s="32"/>
      <c r="J38" s="32"/>
      <c r="K38" s="32"/>
      <c r="T38" s="2" t="s">
        <v>78</v>
      </c>
      <c r="U38" s="8" t="s">
        <v>101</v>
      </c>
    </row>
    <row r="39" spans="6:21" x14ac:dyDescent="0.25">
      <c r="F39" s="2" t="s">
        <v>0</v>
      </c>
      <c r="G39" s="4">
        <v>46228</v>
      </c>
      <c r="H39" s="2" t="s">
        <v>2</v>
      </c>
      <c r="I39" s="1" t="s">
        <v>47</v>
      </c>
      <c r="J39" s="2" t="s">
        <v>11</v>
      </c>
      <c r="K39" s="1" t="s">
        <v>14</v>
      </c>
      <c r="T39" s="2" t="s">
        <v>92</v>
      </c>
      <c r="U39" s="8" t="s">
        <v>102</v>
      </c>
    </row>
    <row r="40" spans="6:21" x14ac:dyDescent="0.25">
      <c r="F40" s="32" t="s">
        <v>648</v>
      </c>
      <c r="G40" s="32"/>
      <c r="H40" s="32"/>
      <c r="I40" s="32"/>
      <c r="J40" s="32"/>
      <c r="K40" s="32"/>
      <c r="T40" s="2" t="s">
        <v>80</v>
      </c>
      <c r="U40" s="8" t="s">
        <v>103</v>
      </c>
    </row>
    <row r="41" spans="6:21" x14ac:dyDescent="0.25">
      <c r="F41" s="32"/>
      <c r="G41" s="32"/>
      <c r="H41" s="32"/>
      <c r="I41" s="32"/>
      <c r="J41" s="32"/>
      <c r="K41" s="32"/>
      <c r="T41" s="2" t="s">
        <v>81</v>
      </c>
      <c r="U41" s="8" t="s">
        <v>93</v>
      </c>
    </row>
    <row r="42" spans="6:21" x14ac:dyDescent="0.25">
      <c r="F42" s="2" t="s">
        <v>0</v>
      </c>
      <c r="G42" s="4">
        <v>46231</v>
      </c>
      <c r="H42" s="2" t="s">
        <v>2</v>
      </c>
      <c r="I42" s="1" t="s">
        <v>22</v>
      </c>
      <c r="J42" s="2" t="s">
        <v>11</v>
      </c>
      <c r="K42" s="1" t="s">
        <v>14</v>
      </c>
      <c r="T42" s="2" t="s">
        <v>82</v>
      </c>
      <c r="U42" s="8">
        <f>U43+U44</f>
        <v>8.2599999999999993E-2</v>
      </c>
    </row>
    <row r="43" spans="6:21" ht="14.45" customHeight="1" x14ac:dyDescent="0.25">
      <c r="F43" s="32" t="s">
        <v>673</v>
      </c>
      <c r="G43" s="32"/>
      <c r="H43" s="32"/>
      <c r="I43" s="32"/>
      <c r="J43" s="32"/>
      <c r="K43" s="32"/>
      <c r="T43" s="2" t="s">
        <v>83</v>
      </c>
      <c r="U43" s="8">
        <v>7.1599999999999997E-2</v>
      </c>
    </row>
    <row r="44" spans="6:21" x14ac:dyDescent="0.25">
      <c r="F44" s="32"/>
      <c r="G44" s="32"/>
      <c r="H44" s="32"/>
      <c r="I44" s="32"/>
      <c r="J44" s="32"/>
      <c r="K44" s="32"/>
      <c r="T44" s="2" t="s">
        <v>84</v>
      </c>
      <c r="U44" s="8">
        <v>1.0999999999999999E-2</v>
      </c>
    </row>
    <row r="45" spans="6:21" x14ac:dyDescent="0.25">
      <c r="F45" s="32"/>
      <c r="G45" s="32"/>
      <c r="H45" s="32"/>
      <c r="I45" s="32"/>
      <c r="J45" s="32"/>
      <c r="K45" s="32"/>
      <c r="T45" s="2" t="s">
        <v>115</v>
      </c>
      <c r="U45" s="8"/>
    </row>
    <row r="46" spans="6:21" x14ac:dyDescent="0.25">
      <c r="F46" s="32"/>
      <c r="G46" s="32"/>
      <c r="H46" s="32"/>
      <c r="I46" s="32"/>
      <c r="J46" s="32"/>
      <c r="K46" s="32"/>
      <c r="T46" s="2" t="s">
        <v>11</v>
      </c>
      <c r="U46" s="8" t="s">
        <v>107</v>
      </c>
    </row>
    <row r="47" spans="6:21" x14ac:dyDescent="0.25">
      <c r="F47" s="32"/>
      <c r="G47" s="32"/>
      <c r="H47" s="32"/>
      <c r="I47" s="32"/>
      <c r="J47" s="32"/>
      <c r="K47" s="32"/>
      <c r="T47" s="2" t="s">
        <v>76</v>
      </c>
      <c r="U47" s="8" t="s">
        <v>109</v>
      </c>
    </row>
    <row r="48" spans="6:21" x14ac:dyDescent="0.25">
      <c r="F48" s="2" t="s">
        <v>0</v>
      </c>
      <c r="G48" s="4">
        <v>46240</v>
      </c>
      <c r="H48" s="2" t="s">
        <v>2</v>
      </c>
      <c r="I48" s="1" t="s">
        <v>35</v>
      </c>
      <c r="J48" s="2" t="s">
        <v>11</v>
      </c>
      <c r="K48" s="1" t="s">
        <v>14</v>
      </c>
      <c r="T48" s="2" t="s">
        <v>77</v>
      </c>
      <c r="U48" s="8"/>
    </row>
    <row r="49" spans="6:21" ht="14.45" customHeight="1" x14ac:dyDescent="0.25">
      <c r="F49" s="32" t="s">
        <v>790</v>
      </c>
      <c r="G49" s="32"/>
      <c r="H49" s="32"/>
      <c r="I49" s="32"/>
      <c r="J49" s="32"/>
      <c r="K49" s="32"/>
      <c r="T49" s="2" t="s">
        <v>78</v>
      </c>
      <c r="U49" s="8" t="s">
        <v>101</v>
      </c>
    </row>
    <row r="50" spans="6:21" x14ac:dyDescent="0.25">
      <c r="F50" s="32"/>
      <c r="G50" s="32"/>
      <c r="H50" s="32"/>
      <c r="I50" s="32"/>
      <c r="J50" s="32"/>
      <c r="K50" s="32"/>
      <c r="T50" s="2" t="s">
        <v>92</v>
      </c>
      <c r="U50" s="8" t="s">
        <v>102</v>
      </c>
    </row>
    <row r="51" spans="6:21" x14ac:dyDescent="0.25">
      <c r="F51" s="32"/>
      <c r="G51" s="32"/>
      <c r="H51" s="32"/>
      <c r="I51" s="32"/>
      <c r="J51" s="32"/>
      <c r="K51" s="32"/>
      <c r="T51" s="2" t="s">
        <v>80</v>
      </c>
      <c r="U51" s="8" t="s">
        <v>103</v>
      </c>
    </row>
    <row r="52" spans="6:21" x14ac:dyDescent="0.25">
      <c r="F52" s="32"/>
      <c r="G52" s="32"/>
      <c r="H52" s="32"/>
      <c r="I52" s="32"/>
      <c r="J52" s="32"/>
      <c r="K52" s="32"/>
      <c r="T52" s="2" t="s">
        <v>81</v>
      </c>
      <c r="U52" s="8" t="s">
        <v>93</v>
      </c>
    </row>
    <row r="53" spans="6:21" x14ac:dyDescent="0.25">
      <c r="F53" s="32"/>
      <c r="G53" s="32"/>
      <c r="H53" s="32"/>
      <c r="I53" s="32"/>
      <c r="J53" s="32"/>
      <c r="K53" s="32"/>
      <c r="T53" s="2" t="s">
        <v>82</v>
      </c>
      <c r="U53" s="8">
        <f>U54+U55</f>
        <v>8.7099999999999997E-2</v>
      </c>
    </row>
    <row r="54" spans="6:21" x14ac:dyDescent="0.25">
      <c r="F54" s="32"/>
      <c r="G54" s="32"/>
      <c r="H54" s="32"/>
      <c r="I54" s="32"/>
      <c r="J54" s="32"/>
      <c r="K54" s="32"/>
      <c r="T54" s="2" t="s">
        <v>83</v>
      </c>
      <c r="U54" s="8">
        <v>8.4699999999999998E-2</v>
      </c>
    </row>
    <row r="55" spans="6:21" x14ac:dyDescent="0.25">
      <c r="F55" s="32"/>
      <c r="G55" s="32"/>
      <c r="H55" s="32"/>
      <c r="I55" s="32"/>
      <c r="J55" s="32"/>
      <c r="K55" s="32"/>
      <c r="T55" s="2" t="s">
        <v>84</v>
      </c>
      <c r="U55" s="8">
        <v>2.3999999999999998E-3</v>
      </c>
    </row>
    <row r="56" spans="6:21" x14ac:dyDescent="0.25">
      <c r="F56" s="32"/>
      <c r="G56" s="32"/>
      <c r="H56" s="32"/>
      <c r="I56" s="32"/>
      <c r="J56" s="32"/>
      <c r="K56" s="32"/>
      <c r="T56" s="2" t="s">
        <v>115</v>
      </c>
      <c r="U56" s="8"/>
    </row>
    <row r="57" spans="6:21" x14ac:dyDescent="0.25">
      <c r="F57" s="2" t="s">
        <v>0</v>
      </c>
      <c r="G57" s="4">
        <v>46242</v>
      </c>
      <c r="H57" s="2" t="s">
        <v>2</v>
      </c>
      <c r="I57" s="1" t="s">
        <v>385</v>
      </c>
      <c r="J57" s="2" t="s">
        <v>11</v>
      </c>
      <c r="K57" s="1" t="s">
        <v>14</v>
      </c>
      <c r="T57" s="2" t="s">
        <v>85</v>
      </c>
      <c r="U57" s="8">
        <f>U54+U43+U32+U21+U10</f>
        <v>2.0785999999999998</v>
      </c>
    </row>
    <row r="58" spans="6:21" ht="14.45" customHeight="1" x14ac:dyDescent="0.25">
      <c r="F58" s="32" t="s">
        <v>829</v>
      </c>
      <c r="G58" s="32"/>
      <c r="H58" s="32"/>
      <c r="I58" s="32"/>
      <c r="J58" s="32"/>
      <c r="K58" s="32"/>
      <c r="T58" s="2" t="s">
        <v>86</v>
      </c>
      <c r="U58" s="10">
        <f>U57*12.032</f>
        <v>25.009715199999999</v>
      </c>
    </row>
    <row r="59" spans="6:21" x14ac:dyDescent="0.25">
      <c r="F59" s="32"/>
      <c r="G59" s="32"/>
      <c r="H59" s="32"/>
      <c r="I59" s="32"/>
      <c r="J59" s="32"/>
      <c r="K59" s="32"/>
    </row>
    <row r="60" spans="6:21" x14ac:dyDescent="0.25">
      <c r="F60" s="32"/>
      <c r="G60" s="32"/>
      <c r="H60" s="32"/>
      <c r="I60" s="32"/>
      <c r="J60" s="32"/>
      <c r="K60" s="32"/>
    </row>
    <row r="61" spans="6:21" x14ac:dyDescent="0.25">
      <c r="F61" s="32"/>
      <c r="G61" s="32"/>
      <c r="H61" s="32"/>
      <c r="I61" s="32"/>
      <c r="J61" s="32"/>
      <c r="K61" s="32"/>
    </row>
    <row r="62" spans="6:21" x14ac:dyDescent="0.25">
      <c r="F62" s="2" t="s">
        <v>0</v>
      </c>
      <c r="G62" s="4">
        <v>46252</v>
      </c>
      <c r="H62" s="2" t="s">
        <v>2</v>
      </c>
      <c r="I62" s="1" t="s">
        <v>350</v>
      </c>
      <c r="J62" s="2" t="s">
        <v>11</v>
      </c>
      <c r="K62" s="1" t="s">
        <v>95</v>
      </c>
    </row>
    <row r="63" spans="6:21" x14ac:dyDescent="0.25">
      <c r="F63" s="32" t="s">
        <v>923</v>
      </c>
      <c r="G63" s="32"/>
      <c r="H63" s="32"/>
      <c r="I63" s="32"/>
      <c r="J63" s="32"/>
      <c r="K63" s="32"/>
    </row>
    <row r="64" spans="6:21" x14ac:dyDescent="0.25">
      <c r="F64" s="32"/>
      <c r="G64" s="32"/>
      <c r="H64" s="32"/>
      <c r="I64" s="32"/>
      <c r="J64" s="32"/>
      <c r="K64" s="32"/>
    </row>
    <row r="65" spans="6:11" x14ac:dyDescent="0.25">
      <c r="F65" s="32"/>
      <c r="G65" s="32"/>
      <c r="H65" s="32"/>
      <c r="I65" s="32"/>
      <c r="J65" s="32"/>
      <c r="K65" s="32"/>
    </row>
    <row r="66" spans="6:11" x14ac:dyDescent="0.25">
      <c r="F66" s="32"/>
      <c r="G66" s="32"/>
      <c r="H66" s="32"/>
      <c r="I66" s="32"/>
      <c r="J66" s="32"/>
      <c r="K66" s="32"/>
    </row>
    <row r="67" spans="6:11" x14ac:dyDescent="0.25">
      <c r="F67" s="2" t="s">
        <v>0</v>
      </c>
      <c r="G67" s="4">
        <v>46258</v>
      </c>
      <c r="H67" s="2" t="s">
        <v>2</v>
      </c>
      <c r="I67" s="1" t="s">
        <v>35</v>
      </c>
      <c r="J67" s="2" t="s">
        <v>11</v>
      </c>
      <c r="K67" s="1" t="s">
        <v>14</v>
      </c>
    </row>
    <row r="68" spans="6:11" x14ac:dyDescent="0.25">
      <c r="F68" s="32" t="s">
        <v>977</v>
      </c>
      <c r="G68" s="32"/>
      <c r="H68" s="32"/>
      <c r="I68" s="32"/>
      <c r="J68" s="32"/>
      <c r="K68" s="32"/>
    </row>
    <row r="69" spans="6:11" x14ac:dyDescent="0.25">
      <c r="F69" s="32"/>
      <c r="G69" s="32"/>
      <c r="H69" s="32"/>
      <c r="I69" s="32"/>
      <c r="J69" s="32"/>
      <c r="K69" s="32"/>
    </row>
    <row r="70" spans="6:11" x14ac:dyDescent="0.25">
      <c r="F70" s="32"/>
      <c r="G70" s="32"/>
      <c r="H70" s="32"/>
      <c r="I70" s="32"/>
      <c r="J70" s="32"/>
      <c r="K70" s="32"/>
    </row>
    <row r="71" spans="6:11" x14ac:dyDescent="0.25">
      <c r="F71" s="32"/>
      <c r="G71" s="32"/>
      <c r="H71" s="32"/>
      <c r="I71" s="32"/>
      <c r="J71" s="32"/>
      <c r="K71" s="32"/>
    </row>
    <row r="72" spans="6:11" x14ac:dyDescent="0.25">
      <c r="F72" s="32"/>
      <c r="G72" s="32"/>
      <c r="H72" s="32"/>
      <c r="I72" s="32"/>
      <c r="J72" s="32"/>
      <c r="K72" s="32"/>
    </row>
    <row r="73" spans="6:11" x14ac:dyDescent="0.25">
      <c r="F73" s="32"/>
      <c r="G73" s="32"/>
      <c r="H73" s="32"/>
      <c r="I73" s="32"/>
      <c r="J73" s="32"/>
      <c r="K73" s="32"/>
    </row>
    <row r="74" spans="6:11" x14ac:dyDescent="0.25">
      <c r="F74" s="32"/>
      <c r="G74" s="32"/>
      <c r="H74" s="32"/>
      <c r="I74" s="32"/>
      <c r="J74" s="32"/>
      <c r="K74" s="32"/>
    </row>
    <row r="75" spans="6:11" x14ac:dyDescent="0.25">
      <c r="F75" s="32"/>
      <c r="G75" s="32"/>
      <c r="H75" s="32"/>
      <c r="I75" s="32"/>
      <c r="J75" s="32"/>
      <c r="K75" s="32"/>
    </row>
    <row r="76" spans="6:11" x14ac:dyDescent="0.25">
      <c r="F76" s="2" t="s">
        <v>0</v>
      </c>
      <c r="G76" s="4">
        <v>46260</v>
      </c>
      <c r="H76" s="2" t="s">
        <v>2</v>
      </c>
      <c r="I76" s="1" t="s">
        <v>22</v>
      </c>
      <c r="J76" s="2" t="s">
        <v>11</v>
      </c>
      <c r="K76" s="1" t="s">
        <v>14</v>
      </c>
    </row>
    <row r="77" spans="6:11" x14ac:dyDescent="0.25">
      <c r="F77" s="32" t="s">
        <v>997</v>
      </c>
      <c r="G77" s="32"/>
      <c r="H77" s="32"/>
      <c r="I77" s="32"/>
      <c r="J77" s="32"/>
      <c r="K77" s="32"/>
    </row>
    <row r="78" spans="6:11" x14ac:dyDescent="0.25">
      <c r="F78" s="32"/>
      <c r="G78" s="32"/>
      <c r="H78" s="32"/>
      <c r="I78" s="32"/>
      <c r="J78" s="32"/>
      <c r="K78" s="32"/>
    </row>
    <row r="79" spans="6:11" x14ac:dyDescent="0.25">
      <c r="F79" s="32"/>
      <c r="G79" s="32"/>
      <c r="H79" s="32"/>
      <c r="I79" s="32"/>
      <c r="J79" s="32"/>
      <c r="K79" s="32"/>
    </row>
    <row r="80" spans="6:11" x14ac:dyDescent="0.25">
      <c r="F80" s="32"/>
      <c r="G80" s="32"/>
      <c r="H80" s="32"/>
      <c r="I80" s="32"/>
      <c r="J80" s="32"/>
      <c r="K80" s="32"/>
    </row>
    <row r="81" spans="6:11" x14ac:dyDescent="0.25">
      <c r="F81" s="32"/>
      <c r="G81" s="32"/>
      <c r="H81" s="32"/>
      <c r="I81" s="32"/>
      <c r="J81" s="32"/>
      <c r="K81" s="32"/>
    </row>
    <row r="82" spans="6:11" x14ac:dyDescent="0.25">
      <c r="F82" s="32"/>
      <c r="G82" s="32"/>
      <c r="H82" s="32"/>
      <c r="I82" s="32"/>
      <c r="J82" s="32"/>
      <c r="K82" s="32"/>
    </row>
    <row r="83" spans="6:11" x14ac:dyDescent="0.25">
      <c r="F83" s="32"/>
      <c r="G83" s="32"/>
      <c r="H83" s="32"/>
      <c r="I83" s="32"/>
      <c r="J83" s="32"/>
      <c r="K83" s="32"/>
    </row>
    <row r="84" spans="6:11" x14ac:dyDescent="0.25">
      <c r="F84" s="32"/>
      <c r="G84" s="32"/>
      <c r="H84" s="32"/>
      <c r="I84" s="32"/>
      <c r="J84" s="32"/>
      <c r="K84" s="32"/>
    </row>
    <row r="85" spans="6:11" x14ac:dyDescent="0.25">
      <c r="F85" s="2" t="s">
        <v>0</v>
      </c>
      <c r="G85" s="4">
        <v>46266</v>
      </c>
      <c r="H85" s="2" t="s">
        <v>2</v>
      </c>
      <c r="I85" s="1" t="s">
        <v>35</v>
      </c>
      <c r="J85" s="2" t="s">
        <v>11</v>
      </c>
      <c r="K85" s="1" t="s">
        <v>14</v>
      </c>
    </row>
    <row r="86" spans="6:11" ht="14.45" customHeight="1" x14ac:dyDescent="0.25">
      <c r="F86" s="32" t="s">
        <v>1052</v>
      </c>
      <c r="G86" s="32"/>
      <c r="H86" s="32"/>
      <c r="I86" s="32"/>
      <c r="J86" s="32"/>
      <c r="K86" s="32"/>
    </row>
    <row r="87" spans="6:11" x14ac:dyDescent="0.25">
      <c r="F87" s="32"/>
      <c r="G87" s="32"/>
      <c r="H87" s="32"/>
      <c r="I87" s="32"/>
      <c r="J87" s="32"/>
      <c r="K87" s="32"/>
    </row>
    <row r="88" spans="6:11" x14ac:dyDescent="0.25">
      <c r="F88" s="32"/>
      <c r="G88" s="32"/>
      <c r="H88" s="32"/>
      <c r="I88" s="32"/>
      <c r="J88" s="32"/>
      <c r="K88" s="32"/>
    </row>
    <row r="89" spans="6:11" x14ac:dyDescent="0.25">
      <c r="F89" s="32"/>
      <c r="G89" s="32"/>
      <c r="H89" s="32"/>
      <c r="I89" s="32"/>
      <c r="J89" s="32"/>
      <c r="K89" s="32"/>
    </row>
    <row r="90" spans="6:11" x14ac:dyDescent="0.25">
      <c r="F90" s="32"/>
      <c r="G90" s="32"/>
      <c r="H90" s="32"/>
      <c r="I90" s="32"/>
      <c r="J90" s="32"/>
      <c r="K90" s="32"/>
    </row>
    <row r="91" spans="6:11" x14ac:dyDescent="0.25">
      <c r="F91" s="32"/>
      <c r="G91" s="32"/>
      <c r="H91" s="32"/>
      <c r="I91" s="32"/>
      <c r="J91" s="32"/>
      <c r="K91" s="32"/>
    </row>
    <row r="92" spans="6:11" x14ac:dyDescent="0.25">
      <c r="F92" s="32"/>
      <c r="G92" s="32"/>
      <c r="H92" s="32"/>
      <c r="I92" s="32"/>
      <c r="J92" s="32"/>
      <c r="K92" s="32"/>
    </row>
    <row r="93" spans="6:11" x14ac:dyDescent="0.25">
      <c r="F93" s="32"/>
      <c r="G93" s="32"/>
      <c r="H93" s="32"/>
      <c r="I93" s="32"/>
      <c r="J93" s="32"/>
      <c r="K93" s="32"/>
    </row>
    <row r="94" spans="6:11" x14ac:dyDescent="0.25">
      <c r="F94" s="32"/>
      <c r="G94" s="32"/>
      <c r="H94" s="32"/>
      <c r="I94" s="32"/>
      <c r="J94" s="32"/>
      <c r="K94" s="32"/>
    </row>
    <row r="95" spans="6:11" x14ac:dyDescent="0.25">
      <c r="F95" s="32"/>
      <c r="G95" s="32"/>
      <c r="H95" s="32"/>
      <c r="I95" s="32"/>
      <c r="J95" s="32"/>
      <c r="K95" s="32"/>
    </row>
    <row r="96" spans="6:11" x14ac:dyDescent="0.25">
      <c r="F96" s="2" t="s">
        <v>0</v>
      </c>
      <c r="G96" s="4">
        <v>46267</v>
      </c>
      <c r="H96" s="2" t="s">
        <v>2</v>
      </c>
      <c r="I96" s="1" t="s">
        <v>47</v>
      </c>
      <c r="J96" s="2" t="s">
        <v>11</v>
      </c>
      <c r="K96" s="1" t="s">
        <v>14</v>
      </c>
    </row>
    <row r="97" spans="6:11" x14ac:dyDescent="0.25">
      <c r="F97" s="32" t="s">
        <v>1059</v>
      </c>
      <c r="G97" s="32"/>
      <c r="H97" s="32"/>
      <c r="I97" s="32"/>
      <c r="J97" s="32"/>
      <c r="K97" s="32"/>
    </row>
    <row r="98" spans="6:11" x14ac:dyDescent="0.25">
      <c r="F98" s="32"/>
      <c r="G98" s="32"/>
      <c r="H98" s="32"/>
      <c r="I98" s="32"/>
      <c r="J98" s="32"/>
      <c r="K98" s="32"/>
    </row>
    <row r="99" spans="6:11" x14ac:dyDescent="0.25">
      <c r="F99" s="32"/>
      <c r="G99" s="32"/>
      <c r="H99" s="32"/>
      <c r="I99" s="32"/>
      <c r="J99" s="32"/>
      <c r="K99" s="32"/>
    </row>
    <row r="100" spans="6:11" x14ac:dyDescent="0.25">
      <c r="F100" s="32"/>
      <c r="G100" s="32"/>
      <c r="H100" s="32"/>
      <c r="I100" s="32"/>
      <c r="J100" s="32"/>
      <c r="K100" s="32"/>
    </row>
    <row r="101" spans="6:11" x14ac:dyDescent="0.25">
      <c r="F101" s="2" t="s">
        <v>0</v>
      </c>
      <c r="G101" s="4">
        <v>46275</v>
      </c>
      <c r="H101" s="2" t="s">
        <v>2</v>
      </c>
      <c r="I101" s="1" t="s">
        <v>22</v>
      </c>
      <c r="J101" s="2" t="s">
        <v>11</v>
      </c>
      <c r="K101" s="1" t="s">
        <v>14</v>
      </c>
    </row>
    <row r="102" spans="6:11" x14ac:dyDescent="0.25">
      <c r="F102" s="32" t="s">
        <v>1120</v>
      </c>
      <c r="G102" s="32"/>
      <c r="H102" s="32"/>
      <c r="I102" s="32"/>
      <c r="J102" s="32"/>
      <c r="K102" s="32"/>
    </row>
    <row r="103" spans="6:11" x14ac:dyDescent="0.25">
      <c r="F103" s="32"/>
      <c r="G103" s="32"/>
      <c r="H103" s="32"/>
      <c r="I103" s="32"/>
      <c r="J103" s="32"/>
      <c r="K103" s="32"/>
    </row>
    <row r="104" spans="6:11" x14ac:dyDescent="0.25">
      <c r="F104" s="32"/>
      <c r="G104" s="32"/>
      <c r="H104" s="32"/>
      <c r="I104" s="32"/>
      <c r="J104" s="32"/>
      <c r="K104" s="32"/>
    </row>
    <row r="105" spans="6:11" x14ac:dyDescent="0.25">
      <c r="F105" s="32"/>
      <c r="G105" s="32"/>
      <c r="H105" s="32"/>
      <c r="I105" s="32"/>
      <c r="J105" s="32"/>
      <c r="K105" s="32"/>
    </row>
    <row r="106" spans="6:11" x14ac:dyDescent="0.25">
      <c r="F106" s="2" t="s">
        <v>0</v>
      </c>
      <c r="G106" s="4">
        <v>46276</v>
      </c>
      <c r="H106" s="2" t="s">
        <v>2</v>
      </c>
      <c r="I106" s="1" t="s">
        <v>47</v>
      </c>
      <c r="J106" s="2" t="s">
        <v>11</v>
      </c>
      <c r="K106" s="1" t="s">
        <v>14</v>
      </c>
    </row>
    <row r="107" spans="6:11" x14ac:dyDescent="0.25">
      <c r="F107" s="32" t="s">
        <v>1137</v>
      </c>
      <c r="G107" s="32"/>
      <c r="H107" s="32"/>
      <c r="I107" s="32"/>
      <c r="J107" s="32"/>
      <c r="K107" s="32"/>
    </row>
    <row r="108" spans="6:11" x14ac:dyDescent="0.25">
      <c r="F108" s="32"/>
      <c r="G108" s="32"/>
      <c r="H108" s="32"/>
      <c r="I108" s="32"/>
      <c r="J108" s="32"/>
      <c r="K108" s="32"/>
    </row>
    <row r="109" spans="6:11" x14ac:dyDescent="0.25">
      <c r="F109" s="32"/>
      <c r="G109" s="32"/>
      <c r="H109" s="32"/>
      <c r="I109" s="32"/>
      <c r="J109" s="32"/>
      <c r="K109" s="32"/>
    </row>
    <row r="110" spans="6:11" x14ac:dyDescent="0.25">
      <c r="F110" s="32"/>
      <c r="G110" s="32"/>
      <c r="H110" s="32"/>
      <c r="I110" s="32"/>
      <c r="J110" s="32"/>
      <c r="K110" s="32"/>
    </row>
    <row r="111" spans="6:11" x14ac:dyDescent="0.25">
      <c r="F111" s="2" t="s">
        <v>0</v>
      </c>
      <c r="G111" s="4">
        <v>46281</v>
      </c>
      <c r="H111" s="2" t="s">
        <v>2</v>
      </c>
      <c r="I111" s="1" t="s">
        <v>22</v>
      </c>
      <c r="J111" s="2" t="s">
        <v>11</v>
      </c>
      <c r="K111" s="1" t="s">
        <v>14</v>
      </c>
    </row>
    <row r="112" spans="6:11" ht="14.45" customHeight="1" x14ac:dyDescent="0.25">
      <c r="F112" s="32" t="s">
        <v>1177</v>
      </c>
      <c r="G112" s="32"/>
      <c r="H112" s="32"/>
      <c r="I112" s="32"/>
      <c r="J112" s="32"/>
      <c r="K112" s="32"/>
    </row>
    <row r="113" spans="6:11" x14ac:dyDescent="0.25">
      <c r="F113" s="32"/>
      <c r="G113" s="32"/>
      <c r="H113" s="32"/>
      <c r="I113" s="32"/>
      <c r="J113" s="32"/>
      <c r="K113" s="32"/>
    </row>
    <row r="114" spans="6:11" x14ac:dyDescent="0.25">
      <c r="F114" s="32"/>
      <c r="G114" s="32"/>
      <c r="H114" s="32"/>
      <c r="I114" s="32"/>
      <c r="J114" s="32"/>
      <c r="K114" s="32"/>
    </row>
    <row r="115" spans="6:11" x14ac:dyDescent="0.25">
      <c r="F115" s="2" t="s">
        <v>0</v>
      </c>
      <c r="G115" s="4">
        <v>46289</v>
      </c>
      <c r="H115" s="2" t="s">
        <v>2</v>
      </c>
      <c r="I115" s="1" t="s">
        <v>47</v>
      </c>
      <c r="J115" s="2" t="s">
        <v>11</v>
      </c>
      <c r="K115" s="1" t="s">
        <v>14</v>
      </c>
    </row>
    <row r="116" spans="6:11" ht="14.45" customHeight="1" x14ac:dyDescent="0.25">
      <c r="F116" s="32" t="s">
        <v>1262</v>
      </c>
      <c r="G116" s="32"/>
      <c r="H116" s="32"/>
      <c r="I116" s="32"/>
      <c r="J116" s="32"/>
      <c r="K116" s="32"/>
    </row>
    <row r="117" spans="6:11" x14ac:dyDescent="0.25">
      <c r="F117" s="32"/>
      <c r="G117" s="32"/>
      <c r="H117" s="32"/>
      <c r="I117" s="32"/>
      <c r="J117" s="32"/>
      <c r="K117" s="32"/>
    </row>
    <row r="118" spans="6:11" x14ac:dyDescent="0.25">
      <c r="F118" s="32"/>
      <c r="G118" s="32"/>
      <c r="H118" s="32"/>
      <c r="I118" s="32"/>
      <c r="J118" s="32"/>
      <c r="K118" s="32"/>
    </row>
    <row r="119" spans="6:11" x14ac:dyDescent="0.25">
      <c r="F119" s="32"/>
      <c r="G119" s="32"/>
      <c r="H119" s="32"/>
      <c r="I119" s="32"/>
      <c r="J119" s="32"/>
      <c r="K119" s="32"/>
    </row>
  </sheetData>
  <mergeCells count="27">
    <mergeCell ref="F9:K13"/>
    <mergeCell ref="F30:K31"/>
    <mergeCell ref="F26:K28"/>
    <mergeCell ref="F23:K24"/>
    <mergeCell ref="F15:K16"/>
    <mergeCell ref="F18:K21"/>
    <mergeCell ref="W1:X1"/>
    <mergeCell ref="F6:K7"/>
    <mergeCell ref="T1:U1"/>
    <mergeCell ref="F1:K1"/>
    <mergeCell ref="F3:K4"/>
    <mergeCell ref="M1:R1"/>
    <mergeCell ref="F116:K119"/>
    <mergeCell ref="F97:K100"/>
    <mergeCell ref="F33:K34"/>
    <mergeCell ref="F68:K75"/>
    <mergeCell ref="F63:K66"/>
    <mergeCell ref="F112:K114"/>
    <mergeCell ref="F107:K110"/>
    <mergeCell ref="F102:K105"/>
    <mergeCell ref="F40:K41"/>
    <mergeCell ref="F36:K38"/>
    <mergeCell ref="F58:K61"/>
    <mergeCell ref="F49:K56"/>
    <mergeCell ref="F86:K95"/>
    <mergeCell ref="F77:K84"/>
    <mergeCell ref="F43:K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92E9A-271D-41C6-87AE-066DC700897F}">
  <dimension ref="A1:V55"/>
  <sheetViews>
    <sheetView topLeftCell="A31" workbookViewId="0">
      <selection activeCell="E51" sqref="E51"/>
    </sheetView>
  </sheetViews>
  <sheetFormatPr baseColWidth="10" defaultRowHeight="15" x14ac:dyDescent="0.25"/>
  <cols>
    <col min="1" max="1" width="11.5703125" style="7"/>
    <col min="2" max="2" width="21.7109375" style="7" bestFit="1" customWidth="1"/>
    <col min="3" max="3" width="11.5703125" style="7"/>
    <col min="4" max="4" width="23.5703125" style="7" bestFit="1" customWidth="1"/>
    <col min="18" max="18" width="21.28515625" bestFit="1" customWidth="1"/>
    <col min="19" max="19" width="16.1406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x14ac:dyDescent="0.25">
      <c r="A2" s="6">
        <v>46195</v>
      </c>
      <c r="B2" s="7" t="s">
        <v>8</v>
      </c>
      <c r="C2" s="7" t="s">
        <v>9</v>
      </c>
      <c r="D2" s="7" t="s">
        <v>10</v>
      </c>
      <c r="F2" s="2" t="s">
        <v>0</v>
      </c>
      <c r="G2" s="4">
        <v>46195</v>
      </c>
      <c r="H2" s="2" t="s">
        <v>2</v>
      </c>
      <c r="I2" s="1" t="s">
        <v>15</v>
      </c>
      <c r="J2" s="2" t="s">
        <v>11</v>
      </c>
      <c r="K2" s="1" t="s">
        <v>14</v>
      </c>
      <c r="M2" s="2" t="s">
        <v>0</v>
      </c>
      <c r="N2" s="1"/>
      <c r="O2" s="2" t="s">
        <v>6</v>
      </c>
      <c r="P2" s="1"/>
      <c r="R2" s="2" t="s">
        <v>11</v>
      </c>
      <c r="S2" s="8" t="s">
        <v>110</v>
      </c>
      <c r="U2" s="3" t="s">
        <v>0</v>
      </c>
      <c r="V2" s="3" t="s">
        <v>88</v>
      </c>
    </row>
    <row r="3" spans="1:22" x14ac:dyDescent="0.25">
      <c r="A3" s="6">
        <v>46205</v>
      </c>
      <c r="B3" s="7" t="s">
        <v>398</v>
      </c>
      <c r="C3" s="7" t="s">
        <v>9</v>
      </c>
      <c r="D3" s="7" t="s">
        <v>56</v>
      </c>
      <c r="F3" s="37" t="s">
        <v>20</v>
      </c>
      <c r="G3" s="37"/>
      <c r="H3" s="37"/>
      <c r="I3" s="37"/>
      <c r="J3" s="37"/>
      <c r="K3" s="37"/>
      <c r="R3" s="2" t="s">
        <v>76</v>
      </c>
      <c r="S3" s="8" t="s">
        <v>111</v>
      </c>
    </row>
    <row r="4" spans="1:22" x14ac:dyDescent="0.25">
      <c r="A4" s="6">
        <v>46209</v>
      </c>
      <c r="B4" s="7" t="s">
        <v>30</v>
      </c>
      <c r="C4" s="7" t="s">
        <v>31</v>
      </c>
      <c r="D4" s="7" t="s">
        <v>433</v>
      </c>
      <c r="F4" s="37"/>
      <c r="G4" s="37"/>
      <c r="H4" s="37"/>
      <c r="I4" s="37"/>
      <c r="J4" s="37"/>
      <c r="K4" s="37"/>
      <c r="R4" s="2" t="s">
        <v>77</v>
      </c>
      <c r="S4" s="8"/>
    </row>
    <row r="5" spans="1:22" x14ac:dyDescent="0.25">
      <c r="A5" s="6">
        <v>46213</v>
      </c>
      <c r="B5" s="7" t="s">
        <v>8</v>
      </c>
      <c r="C5" s="7" t="s">
        <v>9</v>
      </c>
      <c r="D5" s="7" t="s">
        <v>477</v>
      </c>
      <c r="F5" s="2" t="s">
        <v>0</v>
      </c>
      <c r="G5" s="4">
        <v>46204</v>
      </c>
      <c r="H5" s="2" t="s">
        <v>2</v>
      </c>
      <c r="I5" s="1" t="s">
        <v>35</v>
      </c>
      <c r="J5" s="2" t="s">
        <v>11</v>
      </c>
      <c r="K5" s="1" t="s">
        <v>14</v>
      </c>
      <c r="R5" s="2" t="s">
        <v>78</v>
      </c>
      <c r="S5" s="8" t="s">
        <v>101</v>
      </c>
    </row>
    <row r="6" spans="1:22" x14ac:dyDescent="0.25">
      <c r="A6" s="6">
        <v>46213</v>
      </c>
      <c r="B6" s="7" t="s">
        <v>492</v>
      </c>
      <c r="C6" s="7" t="s">
        <v>340</v>
      </c>
      <c r="D6" s="7" t="s">
        <v>56</v>
      </c>
      <c r="F6" s="37" t="s">
        <v>374</v>
      </c>
      <c r="G6" s="37"/>
      <c r="H6" s="37"/>
      <c r="I6" s="37"/>
      <c r="J6" s="37"/>
      <c r="K6" s="37"/>
      <c r="R6" s="2" t="s">
        <v>92</v>
      </c>
      <c r="S6" s="8" t="s">
        <v>112</v>
      </c>
    </row>
    <row r="7" spans="1:22" x14ac:dyDescent="0.25">
      <c r="A7" s="6">
        <v>46220</v>
      </c>
      <c r="B7" s="7" t="s">
        <v>30</v>
      </c>
      <c r="C7" s="7" t="s">
        <v>31</v>
      </c>
      <c r="D7" s="7" t="s">
        <v>538</v>
      </c>
      <c r="F7" s="37"/>
      <c r="G7" s="37"/>
      <c r="H7" s="37"/>
      <c r="I7" s="37"/>
      <c r="J7" s="37"/>
      <c r="K7" s="37"/>
      <c r="R7" s="2" t="s">
        <v>80</v>
      </c>
      <c r="S7" s="8" t="s">
        <v>113</v>
      </c>
    </row>
    <row r="8" spans="1:22" x14ac:dyDescent="0.25">
      <c r="A8" s="6">
        <v>46224</v>
      </c>
      <c r="B8" s="7" t="s">
        <v>573</v>
      </c>
      <c r="C8" s="7" t="s">
        <v>9</v>
      </c>
      <c r="D8" s="7" t="s">
        <v>574</v>
      </c>
      <c r="F8" s="2" t="s">
        <v>0</v>
      </c>
      <c r="G8" s="4">
        <v>46205</v>
      </c>
      <c r="H8" s="2" t="s">
        <v>2</v>
      </c>
      <c r="I8" s="1" t="s">
        <v>22</v>
      </c>
      <c r="J8" s="2" t="s">
        <v>11</v>
      </c>
      <c r="K8" s="1" t="s">
        <v>14</v>
      </c>
      <c r="R8" s="2" t="s">
        <v>81</v>
      </c>
      <c r="S8" s="8"/>
    </row>
    <row r="9" spans="1:22" ht="14.45" customHeight="1" x14ac:dyDescent="0.25">
      <c r="A9" s="6">
        <v>46225</v>
      </c>
      <c r="B9" s="7" t="s">
        <v>438</v>
      </c>
      <c r="C9" s="7" t="s">
        <v>344</v>
      </c>
      <c r="D9" s="7" t="s">
        <v>1029</v>
      </c>
      <c r="F9" s="37" t="s">
        <v>399</v>
      </c>
      <c r="G9" s="37"/>
      <c r="H9" s="37"/>
      <c r="I9" s="37"/>
      <c r="J9" s="37"/>
      <c r="K9" s="37"/>
      <c r="R9" s="2" t="s">
        <v>82</v>
      </c>
      <c r="S9" s="8">
        <f>S10*S11</f>
        <v>0</v>
      </c>
    </row>
    <row r="10" spans="1:22" x14ac:dyDescent="0.25">
      <c r="A10" s="6">
        <v>46231</v>
      </c>
      <c r="B10" s="7" t="s">
        <v>8</v>
      </c>
      <c r="C10" s="7" t="s">
        <v>9</v>
      </c>
      <c r="D10" s="7" t="s">
        <v>672</v>
      </c>
      <c r="F10" s="37"/>
      <c r="G10" s="37"/>
      <c r="H10" s="37"/>
      <c r="I10" s="37"/>
      <c r="J10" s="37"/>
      <c r="K10" s="37"/>
      <c r="R10" s="2" t="s">
        <v>83</v>
      </c>
      <c r="S10" s="8">
        <v>0.17979999999999999</v>
      </c>
    </row>
    <row r="11" spans="1:22" x14ac:dyDescent="0.25">
      <c r="A11" s="6">
        <v>46239</v>
      </c>
      <c r="B11" s="7" t="s">
        <v>465</v>
      </c>
      <c r="C11" s="7" t="s">
        <v>31</v>
      </c>
      <c r="D11" s="7" t="s">
        <v>56</v>
      </c>
      <c r="F11" s="37"/>
      <c r="G11" s="37"/>
      <c r="H11" s="37"/>
      <c r="I11" s="37"/>
      <c r="J11" s="37"/>
      <c r="K11" s="37"/>
      <c r="R11" s="2" t="s">
        <v>84</v>
      </c>
      <c r="S11" s="8">
        <v>0</v>
      </c>
    </row>
    <row r="12" spans="1:22" x14ac:dyDescent="0.25">
      <c r="A12" s="6">
        <v>46251</v>
      </c>
      <c r="B12" s="7" t="s">
        <v>820</v>
      </c>
      <c r="C12" s="7" t="s">
        <v>9</v>
      </c>
      <c r="D12" s="7" t="s">
        <v>899</v>
      </c>
      <c r="F12" s="2" t="s">
        <v>0</v>
      </c>
      <c r="G12" s="4">
        <v>46213</v>
      </c>
      <c r="H12" s="2" t="s">
        <v>2</v>
      </c>
      <c r="I12" s="1" t="s">
        <v>22</v>
      </c>
      <c r="J12" s="2" t="s">
        <v>11</v>
      </c>
      <c r="K12" s="1" t="s">
        <v>14</v>
      </c>
      <c r="R12" s="2" t="s">
        <v>85</v>
      </c>
      <c r="S12" s="8">
        <f>S10</f>
        <v>0.17979999999999999</v>
      </c>
    </row>
    <row r="13" spans="1:22" x14ac:dyDescent="0.25">
      <c r="A13" s="6">
        <v>46251</v>
      </c>
      <c r="B13" s="7" t="s">
        <v>8</v>
      </c>
      <c r="C13" s="7" t="s">
        <v>22</v>
      </c>
      <c r="D13" s="7" t="s">
        <v>913</v>
      </c>
      <c r="F13" s="37" t="s">
        <v>493</v>
      </c>
      <c r="G13" s="37"/>
      <c r="H13" s="37"/>
      <c r="I13" s="37"/>
      <c r="J13" s="37"/>
      <c r="K13" s="37"/>
      <c r="R13" s="2" t="s">
        <v>86</v>
      </c>
      <c r="S13" s="8">
        <f>S12*12.032</f>
        <v>2.1633535999999998</v>
      </c>
    </row>
    <row r="14" spans="1:22" x14ac:dyDescent="0.25">
      <c r="A14" s="6">
        <v>46255</v>
      </c>
      <c r="B14" s="7" t="s">
        <v>492</v>
      </c>
      <c r="C14" s="7" t="s">
        <v>340</v>
      </c>
      <c r="D14" s="7" t="s">
        <v>56</v>
      </c>
      <c r="F14" s="37"/>
      <c r="G14" s="37"/>
      <c r="H14" s="37"/>
      <c r="I14" s="37"/>
      <c r="J14" s="37"/>
      <c r="K14" s="37"/>
      <c r="R14" s="2" t="s">
        <v>115</v>
      </c>
      <c r="S14" s="8"/>
    </row>
    <row r="15" spans="1:22" x14ac:dyDescent="0.25">
      <c r="A15" s="6">
        <v>46260</v>
      </c>
      <c r="B15" s="7" t="s">
        <v>987</v>
      </c>
      <c r="C15" s="7" t="s">
        <v>31</v>
      </c>
      <c r="D15" s="7" t="s">
        <v>1005</v>
      </c>
      <c r="F15" s="37"/>
      <c r="G15" s="37"/>
      <c r="H15" s="37"/>
      <c r="I15" s="37"/>
      <c r="J15" s="37"/>
      <c r="K15" s="37"/>
    </row>
    <row r="16" spans="1:22" x14ac:dyDescent="0.25">
      <c r="A16" s="6">
        <v>46262</v>
      </c>
      <c r="B16" s="7" t="s">
        <v>1001</v>
      </c>
      <c r="C16" s="7" t="s">
        <v>22</v>
      </c>
      <c r="D16" s="7" t="s">
        <v>56</v>
      </c>
      <c r="F16" s="2" t="s">
        <v>0</v>
      </c>
      <c r="G16" s="4">
        <v>46224</v>
      </c>
      <c r="H16" s="2" t="s">
        <v>2</v>
      </c>
      <c r="I16" s="1" t="s">
        <v>22</v>
      </c>
      <c r="J16" s="2" t="s">
        <v>11</v>
      </c>
      <c r="K16" s="1" t="s">
        <v>14</v>
      </c>
    </row>
    <row r="17" spans="1:11" ht="14.45" customHeight="1" x14ac:dyDescent="0.25">
      <c r="A17" s="6">
        <v>46274</v>
      </c>
      <c r="B17" s="7" t="s">
        <v>492</v>
      </c>
      <c r="C17" s="7" t="s">
        <v>340</v>
      </c>
      <c r="D17" s="7" t="s">
        <v>56</v>
      </c>
      <c r="F17" s="37" t="s">
        <v>576</v>
      </c>
      <c r="G17" s="37"/>
      <c r="H17" s="37"/>
      <c r="I17" s="37"/>
      <c r="J17" s="37"/>
      <c r="K17" s="37"/>
    </row>
    <row r="18" spans="1:11" x14ac:dyDescent="0.25">
      <c r="A18" s="6">
        <v>46275</v>
      </c>
      <c r="B18" s="7" t="s">
        <v>1110</v>
      </c>
      <c r="C18" s="7" t="s">
        <v>22</v>
      </c>
      <c r="D18" s="7" t="s">
        <v>1092</v>
      </c>
      <c r="F18" s="37"/>
      <c r="G18" s="37"/>
      <c r="H18" s="37"/>
      <c r="I18" s="37"/>
      <c r="J18" s="37"/>
      <c r="K18" s="37"/>
    </row>
    <row r="19" spans="1:11" x14ac:dyDescent="0.25">
      <c r="A19" s="6">
        <v>46279</v>
      </c>
      <c r="B19" s="7" t="s">
        <v>1076</v>
      </c>
      <c r="C19" s="7" t="s">
        <v>588</v>
      </c>
      <c r="D19" s="7" t="s">
        <v>1159</v>
      </c>
      <c r="F19" s="37"/>
      <c r="G19" s="37"/>
      <c r="H19" s="37"/>
      <c r="I19" s="37"/>
      <c r="J19" s="37"/>
      <c r="K19" s="37"/>
    </row>
    <row r="20" spans="1:11" x14ac:dyDescent="0.25">
      <c r="F20" s="2" t="s">
        <v>0</v>
      </c>
      <c r="G20" s="4">
        <v>46231</v>
      </c>
      <c r="H20" s="2" t="s">
        <v>2</v>
      </c>
      <c r="I20" s="1" t="s">
        <v>22</v>
      </c>
      <c r="J20" s="2" t="s">
        <v>11</v>
      </c>
      <c r="K20" s="1" t="s">
        <v>14</v>
      </c>
    </row>
    <row r="21" spans="1:11" ht="14.45" customHeight="1" x14ac:dyDescent="0.25">
      <c r="F21" s="37" t="s">
        <v>682</v>
      </c>
      <c r="G21" s="37"/>
      <c r="H21" s="37"/>
      <c r="I21" s="37"/>
      <c r="J21" s="37"/>
      <c r="K21" s="37"/>
    </row>
    <row r="22" spans="1:11" x14ac:dyDescent="0.25">
      <c r="F22" s="37"/>
      <c r="G22" s="37"/>
      <c r="H22" s="37"/>
      <c r="I22" s="37"/>
      <c r="J22" s="37"/>
      <c r="K22" s="37"/>
    </row>
    <row r="23" spans="1:11" x14ac:dyDescent="0.25">
      <c r="F23" s="37"/>
      <c r="G23" s="37"/>
      <c r="H23" s="37"/>
      <c r="I23" s="37"/>
      <c r="J23" s="37"/>
      <c r="K23" s="37"/>
    </row>
    <row r="24" spans="1:11" x14ac:dyDescent="0.25">
      <c r="F24" s="37"/>
      <c r="G24" s="37"/>
      <c r="H24" s="37"/>
      <c r="I24" s="37"/>
      <c r="J24" s="37"/>
      <c r="K24" s="37"/>
    </row>
    <row r="25" spans="1:11" x14ac:dyDescent="0.25">
      <c r="F25" s="2" t="s">
        <v>0</v>
      </c>
      <c r="G25" s="4">
        <v>46244</v>
      </c>
      <c r="H25" s="2" t="s">
        <v>2</v>
      </c>
      <c r="I25" s="1" t="s">
        <v>47</v>
      </c>
      <c r="J25" s="2" t="s">
        <v>11</v>
      </c>
      <c r="K25" s="1" t="s">
        <v>14</v>
      </c>
    </row>
    <row r="26" spans="1:11" x14ac:dyDescent="0.25">
      <c r="F26" s="37" t="s">
        <v>842</v>
      </c>
      <c r="G26" s="37"/>
      <c r="H26" s="37"/>
      <c r="I26" s="37"/>
      <c r="J26" s="37"/>
      <c r="K26" s="37"/>
    </row>
    <row r="27" spans="1:11" x14ac:dyDescent="0.25">
      <c r="F27" s="37"/>
      <c r="G27" s="37"/>
      <c r="H27" s="37"/>
      <c r="I27" s="37"/>
      <c r="J27" s="37"/>
      <c r="K27" s="37"/>
    </row>
    <row r="28" spans="1:11" x14ac:dyDescent="0.25">
      <c r="F28" s="2" t="s">
        <v>0</v>
      </c>
      <c r="G28" s="4">
        <v>46251</v>
      </c>
      <c r="H28" s="2" t="s">
        <v>2</v>
      </c>
      <c r="I28" s="1" t="s">
        <v>22</v>
      </c>
      <c r="J28" s="2" t="s">
        <v>11</v>
      </c>
      <c r="K28" s="1" t="s">
        <v>14</v>
      </c>
    </row>
    <row r="29" spans="1:11" ht="14.45" customHeight="1" x14ac:dyDescent="0.25">
      <c r="F29" s="37" t="s">
        <v>908</v>
      </c>
      <c r="G29" s="37"/>
      <c r="H29" s="37"/>
      <c r="I29" s="37"/>
      <c r="J29" s="37"/>
      <c r="K29" s="37"/>
    </row>
    <row r="30" spans="1:11" x14ac:dyDescent="0.25">
      <c r="F30" s="37"/>
      <c r="G30" s="37"/>
      <c r="H30" s="37"/>
      <c r="I30" s="37"/>
      <c r="J30" s="37"/>
      <c r="K30" s="37"/>
    </row>
    <row r="31" spans="1:11" x14ac:dyDescent="0.25">
      <c r="F31" s="37"/>
      <c r="G31" s="37"/>
      <c r="H31" s="37"/>
      <c r="I31" s="37"/>
      <c r="J31" s="37"/>
      <c r="K31" s="37"/>
    </row>
    <row r="32" spans="1:11" x14ac:dyDescent="0.25">
      <c r="F32" s="2" t="s">
        <v>0</v>
      </c>
      <c r="G32" s="4">
        <v>46253</v>
      </c>
      <c r="H32" s="2" t="s">
        <v>2</v>
      </c>
      <c r="I32" s="1" t="s">
        <v>47</v>
      </c>
      <c r="J32" s="2" t="s">
        <v>11</v>
      </c>
      <c r="K32" s="1" t="s">
        <v>14</v>
      </c>
    </row>
    <row r="33" spans="6:11" x14ac:dyDescent="0.25">
      <c r="F33" s="32" t="s">
        <v>930</v>
      </c>
      <c r="G33" s="32"/>
      <c r="H33" s="32"/>
      <c r="I33" s="32"/>
      <c r="J33" s="32"/>
      <c r="K33" s="32"/>
    </row>
    <row r="34" spans="6:11" x14ac:dyDescent="0.25">
      <c r="F34" s="32"/>
      <c r="G34" s="32"/>
      <c r="H34" s="32"/>
      <c r="I34" s="32"/>
      <c r="J34" s="32"/>
      <c r="K34" s="32"/>
    </row>
    <row r="35" spans="6:11" x14ac:dyDescent="0.25">
      <c r="F35" s="32"/>
      <c r="G35" s="32"/>
      <c r="H35" s="32"/>
      <c r="I35" s="32"/>
      <c r="J35" s="32"/>
      <c r="K35" s="32"/>
    </row>
    <row r="36" spans="6:11" x14ac:dyDescent="0.25">
      <c r="F36" s="2" t="s">
        <v>0</v>
      </c>
      <c r="G36" s="4">
        <v>46255</v>
      </c>
      <c r="H36" s="2" t="s">
        <v>2</v>
      </c>
      <c r="I36" s="1" t="s">
        <v>385</v>
      </c>
      <c r="J36" s="2" t="s">
        <v>11</v>
      </c>
      <c r="K36" s="1" t="s">
        <v>14</v>
      </c>
    </row>
    <row r="37" spans="6:11" x14ac:dyDescent="0.25">
      <c r="F37" s="32" t="s">
        <v>953</v>
      </c>
      <c r="G37" s="32"/>
      <c r="H37" s="32"/>
      <c r="I37" s="32"/>
      <c r="J37" s="32"/>
      <c r="K37" s="32"/>
    </row>
    <row r="38" spans="6:11" x14ac:dyDescent="0.25">
      <c r="F38" s="32"/>
      <c r="G38" s="32"/>
      <c r="H38" s="32"/>
      <c r="I38" s="32"/>
      <c r="J38" s="32"/>
      <c r="K38" s="32"/>
    </row>
    <row r="39" spans="6:11" x14ac:dyDescent="0.25">
      <c r="F39" s="32"/>
      <c r="G39" s="32"/>
      <c r="H39" s="32"/>
      <c r="I39" s="32"/>
      <c r="J39" s="32"/>
      <c r="K39" s="32"/>
    </row>
    <row r="40" spans="6:11" x14ac:dyDescent="0.25">
      <c r="F40" s="2" t="s">
        <v>0</v>
      </c>
      <c r="G40" s="4">
        <v>46262</v>
      </c>
      <c r="H40" s="2" t="s">
        <v>2</v>
      </c>
      <c r="I40" s="1" t="s">
        <v>22</v>
      </c>
      <c r="J40" s="2" t="s">
        <v>11</v>
      </c>
      <c r="K40" s="1" t="s">
        <v>14</v>
      </c>
    </row>
    <row r="41" spans="6:11" ht="14.45" customHeight="1" x14ac:dyDescent="0.25">
      <c r="F41" s="32" t="s">
        <v>1009</v>
      </c>
      <c r="G41" s="32"/>
      <c r="H41" s="32"/>
      <c r="I41" s="32"/>
      <c r="J41" s="32"/>
      <c r="K41" s="32"/>
    </row>
    <row r="42" spans="6:11" x14ac:dyDescent="0.25">
      <c r="F42" s="32"/>
      <c r="G42" s="32"/>
      <c r="H42" s="32"/>
      <c r="I42" s="32"/>
      <c r="J42" s="32"/>
      <c r="K42" s="32"/>
    </row>
    <row r="43" spans="6:11" x14ac:dyDescent="0.25">
      <c r="F43" s="32"/>
      <c r="G43" s="32"/>
      <c r="H43" s="32"/>
      <c r="I43" s="32"/>
      <c r="J43" s="32"/>
      <c r="K43" s="32"/>
    </row>
    <row r="44" spans="6:11" x14ac:dyDescent="0.25">
      <c r="F44" s="32"/>
      <c r="G44" s="32"/>
      <c r="H44" s="32"/>
      <c r="I44" s="32"/>
      <c r="J44" s="32"/>
      <c r="K44" s="32"/>
    </row>
    <row r="45" spans="6:11" x14ac:dyDescent="0.25">
      <c r="F45" s="2" t="s">
        <v>0</v>
      </c>
      <c r="G45" s="4">
        <v>46268</v>
      </c>
      <c r="H45" s="2" t="s">
        <v>2</v>
      </c>
      <c r="I45" s="1" t="s">
        <v>47</v>
      </c>
      <c r="J45" s="2" t="s">
        <v>11</v>
      </c>
      <c r="K45" s="1" t="s">
        <v>14</v>
      </c>
    </row>
    <row r="46" spans="6:11" x14ac:dyDescent="0.25">
      <c r="F46" s="32" t="s">
        <v>1073</v>
      </c>
      <c r="G46" s="32"/>
      <c r="H46" s="32"/>
      <c r="I46" s="32"/>
      <c r="J46" s="32"/>
      <c r="K46" s="32"/>
    </row>
    <row r="47" spans="6:11" x14ac:dyDescent="0.25">
      <c r="F47" s="32"/>
      <c r="G47" s="32"/>
      <c r="H47" s="32"/>
      <c r="I47" s="32"/>
      <c r="J47" s="32"/>
      <c r="K47" s="32"/>
    </row>
    <row r="48" spans="6:11" x14ac:dyDescent="0.25">
      <c r="F48" s="2" t="s">
        <v>0</v>
      </c>
      <c r="G48" s="4">
        <v>46275</v>
      </c>
      <c r="H48" s="2" t="s">
        <v>2</v>
      </c>
      <c r="I48" s="1" t="s">
        <v>22</v>
      </c>
      <c r="J48" s="2" t="s">
        <v>11</v>
      </c>
      <c r="K48" s="1" t="s">
        <v>14</v>
      </c>
    </row>
    <row r="49" spans="6:11" x14ac:dyDescent="0.25">
      <c r="F49" s="32" t="s">
        <v>1121</v>
      </c>
      <c r="G49" s="32"/>
      <c r="H49" s="32"/>
      <c r="I49" s="32"/>
      <c r="J49" s="32"/>
      <c r="K49" s="32"/>
    </row>
    <row r="50" spans="6:11" x14ac:dyDescent="0.25">
      <c r="F50" s="32"/>
      <c r="G50" s="32"/>
      <c r="H50" s="32"/>
      <c r="I50" s="32"/>
      <c r="J50" s="32"/>
      <c r="K50" s="32"/>
    </row>
    <row r="51" spans="6:11" x14ac:dyDescent="0.25">
      <c r="F51" s="2" t="s">
        <v>0</v>
      </c>
      <c r="G51" s="4">
        <v>46283</v>
      </c>
      <c r="H51" s="2" t="s">
        <v>2</v>
      </c>
      <c r="I51" s="1" t="s">
        <v>35</v>
      </c>
      <c r="J51" s="2" t="s">
        <v>11</v>
      </c>
      <c r="K51" s="1" t="s">
        <v>14</v>
      </c>
    </row>
    <row r="52" spans="6:11" ht="14.45" customHeight="1" x14ac:dyDescent="0.25">
      <c r="F52" s="32" t="s">
        <v>1204</v>
      </c>
      <c r="G52" s="32"/>
      <c r="H52" s="32"/>
      <c r="I52" s="32"/>
      <c r="J52" s="32"/>
      <c r="K52" s="32"/>
    </row>
    <row r="53" spans="6:11" x14ac:dyDescent="0.25">
      <c r="F53" s="32"/>
      <c r="G53" s="32"/>
      <c r="H53" s="32"/>
      <c r="I53" s="32"/>
      <c r="J53" s="32"/>
      <c r="K53" s="32"/>
    </row>
    <row r="54" spans="6:11" x14ac:dyDescent="0.25">
      <c r="F54" s="32"/>
      <c r="G54" s="32"/>
      <c r="H54" s="32"/>
      <c r="I54" s="32"/>
      <c r="J54" s="32"/>
      <c r="K54" s="32"/>
    </row>
    <row r="55" spans="6:11" x14ac:dyDescent="0.25">
      <c r="F55" s="32"/>
      <c r="G55" s="32"/>
      <c r="H55" s="32"/>
      <c r="I55" s="32"/>
      <c r="J55" s="32"/>
      <c r="K55" s="32"/>
    </row>
  </sheetData>
  <mergeCells count="18">
    <mergeCell ref="U1:V1"/>
    <mergeCell ref="F6:K7"/>
    <mergeCell ref="M1:P1"/>
    <mergeCell ref="R1:S1"/>
    <mergeCell ref="F1:K1"/>
    <mergeCell ref="F3:K4"/>
    <mergeCell ref="F37:K39"/>
    <mergeCell ref="F13:K15"/>
    <mergeCell ref="F52:K55"/>
    <mergeCell ref="F9:K11"/>
    <mergeCell ref="F33:K35"/>
    <mergeCell ref="F29:K31"/>
    <mergeCell ref="F26:K27"/>
    <mergeCell ref="F21:K24"/>
    <mergeCell ref="F17:K19"/>
    <mergeCell ref="F49:K50"/>
    <mergeCell ref="F46:K47"/>
    <mergeCell ref="F41:K4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A58AB-5C79-4E21-8D13-CAF2FBB82902}">
  <dimension ref="A1:T29"/>
  <sheetViews>
    <sheetView topLeftCell="F1" workbookViewId="0">
      <selection activeCell="P12" sqref="P12"/>
    </sheetView>
  </sheetViews>
  <sheetFormatPr baseColWidth="10" defaultRowHeight="15" x14ac:dyDescent="0.25"/>
  <cols>
    <col min="1" max="4" width="11.5703125" style="1"/>
    <col min="16" max="16" width="21.28515625" bestFit="1" customWidth="1"/>
    <col min="17" max="17" width="16.140625" bestFit="1" customWidth="1"/>
    <col min="19" max="19" width="11.5703125" style="7"/>
    <col min="20" max="20" width="15" style="7" bestFit="1" customWidth="1"/>
  </cols>
  <sheetData>
    <row r="1" spans="1:20" x14ac:dyDescent="0.25">
      <c r="A1" s="3" t="s">
        <v>0</v>
      </c>
      <c r="B1" s="3" t="s">
        <v>1</v>
      </c>
      <c r="C1" s="3" t="s">
        <v>2</v>
      </c>
      <c r="D1" s="3" t="s">
        <v>3</v>
      </c>
      <c r="F1" s="36" t="s">
        <v>4</v>
      </c>
      <c r="G1" s="36"/>
      <c r="H1" s="36"/>
      <c r="I1" s="36"/>
      <c r="K1" s="34" t="s">
        <v>5</v>
      </c>
      <c r="L1" s="38"/>
      <c r="M1" s="38"/>
      <c r="N1" s="35"/>
      <c r="P1" s="34" t="s">
        <v>7</v>
      </c>
      <c r="Q1" s="35"/>
      <c r="S1" s="33" t="s">
        <v>87</v>
      </c>
      <c r="T1" s="33"/>
    </row>
    <row r="2" spans="1:20" x14ac:dyDescent="0.25">
      <c r="F2" s="2" t="s">
        <v>0</v>
      </c>
      <c r="G2" s="1"/>
      <c r="H2" s="2" t="s">
        <v>2</v>
      </c>
      <c r="I2" s="1"/>
      <c r="K2" s="2" t="s">
        <v>0</v>
      </c>
      <c r="L2" s="1"/>
      <c r="M2" s="2" t="s">
        <v>6</v>
      </c>
      <c r="N2" s="1"/>
      <c r="P2" s="2" t="s">
        <v>11</v>
      </c>
      <c r="Q2" s="8" t="s">
        <v>114</v>
      </c>
      <c r="S2" s="3" t="s">
        <v>0</v>
      </c>
      <c r="T2" s="3" t="s">
        <v>88</v>
      </c>
    </row>
    <row r="3" spans="1:20" x14ac:dyDescent="0.25">
      <c r="P3" s="2" t="s">
        <v>76</v>
      </c>
      <c r="Q3" s="8" t="s">
        <v>116</v>
      </c>
    </row>
    <row r="4" spans="1:20" x14ac:dyDescent="0.25">
      <c r="P4" s="2" t="s">
        <v>77</v>
      </c>
      <c r="Q4" s="8" t="s">
        <v>93</v>
      </c>
    </row>
    <row r="5" spans="1:20" x14ac:dyDescent="0.25">
      <c r="P5" s="2" t="s">
        <v>78</v>
      </c>
      <c r="Q5" s="8" t="s">
        <v>93</v>
      </c>
    </row>
    <row r="6" spans="1:20" x14ac:dyDescent="0.25">
      <c r="P6" s="2" t="s">
        <v>79</v>
      </c>
      <c r="Q6" s="8" t="s">
        <v>93</v>
      </c>
    </row>
    <row r="7" spans="1:20" x14ac:dyDescent="0.25">
      <c r="P7" s="2" t="s">
        <v>80</v>
      </c>
      <c r="Q7" s="8" t="s">
        <v>93</v>
      </c>
    </row>
    <row r="8" spans="1:20" x14ac:dyDescent="0.25">
      <c r="P8" s="2" t="s">
        <v>81</v>
      </c>
      <c r="Q8" s="8" t="s">
        <v>93</v>
      </c>
    </row>
    <row r="9" spans="1:20" x14ac:dyDescent="0.25">
      <c r="P9" s="2" t="s">
        <v>82</v>
      </c>
      <c r="Q9" s="8">
        <f>Q10+Q11</f>
        <v>1.5722</v>
      </c>
    </row>
    <row r="10" spans="1:20" x14ac:dyDescent="0.25">
      <c r="P10" s="2" t="s">
        <v>83</v>
      </c>
      <c r="Q10" s="8">
        <v>1.5722</v>
      </c>
    </row>
    <row r="11" spans="1:20" x14ac:dyDescent="0.25">
      <c r="P11" s="2" t="s">
        <v>84</v>
      </c>
      <c r="Q11" s="8">
        <v>0</v>
      </c>
    </row>
    <row r="12" spans="1:20" x14ac:dyDescent="0.25">
      <c r="P12" s="2" t="s">
        <v>115</v>
      </c>
      <c r="Q12" s="8" t="s">
        <v>93</v>
      </c>
    </row>
    <row r="13" spans="1:20" x14ac:dyDescent="0.25">
      <c r="P13" s="2" t="s">
        <v>11</v>
      </c>
      <c r="Q13" s="8" t="s">
        <v>117</v>
      </c>
    </row>
    <row r="14" spans="1:20" x14ac:dyDescent="0.25">
      <c r="P14" s="2" t="s">
        <v>76</v>
      </c>
      <c r="Q14" s="8" t="s">
        <v>118</v>
      </c>
    </row>
    <row r="15" spans="1:20" x14ac:dyDescent="0.25">
      <c r="P15" s="2" t="s">
        <v>77</v>
      </c>
      <c r="Q15" s="8" t="s">
        <v>93</v>
      </c>
    </row>
    <row r="16" spans="1:20" x14ac:dyDescent="0.25">
      <c r="P16" s="2" t="s">
        <v>78</v>
      </c>
      <c r="Q16" s="8" t="s">
        <v>93</v>
      </c>
    </row>
    <row r="17" spans="16:17" x14ac:dyDescent="0.25">
      <c r="P17" s="2" t="s">
        <v>79</v>
      </c>
      <c r="Q17" s="8" t="s">
        <v>93</v>
      </c>
    </row>
    <row r="18" spans="16:17" x14ac:dyDescent="0.25">
      <c r="P18" s="2" t="s">
        <v>80</v>
      </c>
      <c r="Q18" s="8" t="s">
        <v>93</v>
      </c>
    </row>
    <row r="19" spans="16:17" x14ac:dyDescent="0.25">
      <c r="P19" s="2" t="s">
        <v>81</v>
      </c>
      <c r="Q19" s="8" t="s">
        <v>93</v>
      </c>
    </row>
    <row r="20" spans="16:17" x14ac:dyDescent="0.25">
      <c r="P20" s="2" t="s">
        <v>82</v>
      </c>
      <c r="Q20" s="8">
        <f>Q21+Q22</f>
        <v>7.85E-2</v>
      </c>
    </row>
    <row r="21" spans="16:17" x14ac:dyDescent="0.25">
      <c r="P21" s="2" t="s">
        <v>83</v>
      </c>
      <c r="Q21" s="8">
        <v>7.85E-2</v>
      </c>
    </row>
    <row r="22" spans="16:17" x14ac:dyDescent="0.25">
      <c r="P22" s="2" t="s">
        <v>84</v>
      </c>
      <c r="Q22" s="8">
        <v>0</v>
      </c>
    </row>
    <row r="23" spans="16:17" x14ac:dyDescent="0.25">
      <c r="P23" s="2" t="s">
        <v>115</v>
      </c>
      <c r="Q23" s="8" t="s">
        <v>93</v>
      </c>
    </row>
    <row r="24" spans="16:17" x14ac:dyDescent="0.25">
      <c r="P24" s="2" t="s">
        <v>85</v>
      </c>
      <c r="Q24" s="8">
        <f>Q21+Q10</f>
        <v>1.6507000000000001</v>
      </c>
    </row>
    <row r="25" spans="16:17" x14ac:dyDescent="0.25">
      <c r="P25" s="2" t="s">
        <v>86</v>
      </c>
      <c r="Q25" s="10">
        <f>Q24*12.032</f>
        <v>19.861222399999999</v>
      </c>
    </row>
    <row r="26" spans="16:17" x14ac:dyDescent="0.25">
      <c r="P26" s="2"/>
      <c r="Q26" s="8"/>
    </row>
    <row r="27" spans="16:17" x14ac:dyDescent="0.25">
      <c r="P27" s="2"/>
      <c r="Q27" s="8"/>
    </row>
    <row r="28" spans="16:17" x14ac:dyDescent="0.25">
      <c r="P28" s="2"/>
      <c r="Q28" s="8"/>
    </row>
    <row r="29" spans="16:17" x14ac:dyDescent="0.25">
      <c r="P29" s="2"/>
      <c r="Q29" s="8"/>
    </row>
  </sheetData>
  <mergeCells count="4">
    <mergeCell ref="F1:I1"/>
    <mergeCell ref="K1:N1"/>
    <mergeCell ref="P1:Q1"/>
    <mergeCell ref="S1:T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58A6F-77FC-44E2-9ACB-2F502752E5C2}">
  <dimension ref="A1:V49"/>
  <sheetViews>
    <sheetView topLeftCell="A23" workbookViewId="0">
      <selection activeCell="B19" sqref="B19"/>
    </sheetView>
  </sheetViews>
  <sheetFormatPr baseColWidth="10" defaultRowHeight="15" x14ac:dyDescent="0.25"/>
  <cols>
    <col min="1" max="1" width="11.5703125" style="7"/>
    <col min="2" max="2" width="21.7109375" style="7" bestFit="1" customWidth="1"/>
    <col min="3" max="3" width="11.5703125" style="7"/>
    <col min="4" max="4" width="22" style="7" bestFit="1" customWidth="1"/>
    <col min="18" max="18" width="21.28515625" bestFit="1" customWidth="1"/>
    <col min="19" max="19" width="17.710937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x14ac:dyDescent="0.25">
      <c r="A2" s="6">
        <v>46196</v>
      </c>
      <c r="B2" s="7" t="s">
        <v>8</v>
      </c>
      <c r="C2" s="7" t="s">
        <v>9</v>
      </c>
      <c r="D2" s="7" t="s">
        <v>10</v>
      </c>
      <c r="F2" s="2" t="s">
        <v>0</v>
      </c>
      <c r="G2" s="4">
        <v>46196</v>
      </c>
      <c r="H2" s="2" t="s">
        <v>2</v>
      </c>
      <c r="I2" s="1" t="s">
        <v>22</v>
      </c>
      <c r="J2" s="2" t="s">
        <v>11</v>
      </c>
      <c r="K2" s="1" t="s">
        <v>14</v>
      </c>
      <c r="M2" s="2" t="s">
        <v>0</v>
      </c>
      <c r="N2" s="1"/>
      <c r="O2" s="2" t="s">
        <v>6</v>
      </c>
      <c r="P2" s="1"/>
      <c r="R2" s="2" t="s">
        <v>11</v>
      </c>
      <c r="S2" s="8" t="s">
        <v>119</v>
      </c>
      <c r="U2" s="3" t="s">
        <v>0</v>
      </c>
      <c r="V2" s="3" t="s">
        <v>88</v>
      </c>
    </row>
    <row r="3" spans="1:22" x14ac:dyDescent="0.25">
      <c r="A3" s="6">
        <v>46205</v>
      </c>
      <c r="B3" s="7" t="s">
        <v>398</v>
      </c>
      <c r="C3" s="7" t="s">
        <v>9</v>
      </c>
      <c r="D3" s="7" t="s">
        <v>45</v>
      </c>
      <c r="F3" s="37" t="s">
        <v>23</v>
      </c>
      <c r="G3" s="37"/>
      <c r="H3" s="37"/>
      <c r="I3" s="37"/>
      <c r="J3" s="37"/>
      <c r="K3" s="37"/>
      <c r="R3" s="2" t="s">
        <v>76</v>
      </c>
      <c r="S3" s="8" t="s">
        <v>121</v>
      </c>
    </row>
    <row r="4" spans="1:22" x14ac:dyDescent="0.25">
      <c r="A4" s="6">
        <v>46210</v>
      </c>
      <c r="B4" s="7" t="s">
        <v>438</v>
      </c>
      <c r="C4" s="7" t="s">
        <v>439</v>
      </c>
      <c r="D4" s="7" t="s">
        <v>345</v>
      </c>
      <c r="F4" s="37"/>
      <c r="G4" s="37"/>
      <c r="H4" s="37"/>
      <c r="I4" s="37"/>
      <c r="J4" s="37"/>
      <c r="K4" s="37"/>
      <c r="R4" s="2" t="s">
        <v>77</v>
      </c>
      <c r="S4" s="8"/>
    </row>
    <row r="5" spans="1:22" x14ac:dyDescent="0.25">
      <c r="A5" s="6">
        <v>46213</v>
      </c>
      <c r="B5" s="7" t="s">
        <v>8</v>
      </c>
      <c r="C5" s="7" t="s">
        <v>9</v>
      </c>
      <c r="D5" s="7" t="s">
        <v>477</v>
      </c>
      <c r="F5" s="2" t="s">
        <v>0</v>
      </c>
      <c r="G5" s="4">
        <v>46204</v>
      </c>
      <c r="H5" s="2" t="s">
        <v>2</v>
      </c>
      <c r="I5" s="1" t="s">
        <v>35</v>
      </c>
      <c r="J5" s="2" t="s">
        <v>11</v>
      </c>
      <c r="K5" s="1" t="s">
        <v>14</v>
      </c>
      <c r="R5" s="2" t="s">
        <v>78</v>
      </c>
      <c r="S5" s="8" t="s">
        <v>101</v>
      </c>
    </row>
    <row r="6" spans="1:22" ht="14.45" customHeight="1" x14ac:dyDescent="0.25">
      <c r="A6" s="6">
        <v>46213</v>
      </c>
      <c r="B6" s="7" t="s">
        <v>492</v>
      </c>
      <c r="C6" s="7" t="s">
        <v>340</v>
      </c>
      <c r="D6" s="7" t="s">
        <v>56</v>
      </c>
      <c r="F6" s="37" t="s">
        <v>377</v>
      </c>
      <c r="G6" s="37"/>
      <c r="H6" s="37"/>
      <c r="I6" s="37"/>
      <c r="J6" s="37"/>
      <c r="K6" s="37"/>
      <c r="R6" s="2" t="s">
        <v>92</v>
      </c>
      <c r="S6" s="8" t="s">
        <v>122</v>
      </c>
    </row>
    <row r="7" spans="1:22" x14ac:dyDescent="0.25">
      <c r="A7" s="6">
        <v>46224</v>
      </c>
      <c r="B7" s="7" t="s">
        <v>573</v>
      </c>
      <c r="C7" s="7" t="s">
        <v>9</v>
      </c>
      <c r="D7" s="7" t="s">
        <v>574</v>
      </c>
      <c r="F7" s="37"/>
      <c r="G7" s="37"/>
      <c r="H7" s="37"/>
      <c r="I7" s="37"/>
      <c r="J7" s="37"/>
      <c r="K7" s="37"/>
      <c r="R7" s="2" t="s">
        <v>80</v>
      </c>
      <c r="S7" s="8" t="s">
        <v>123</v>
      </c>
    </row>
    <row r="8" spans="1:22" x14ac:dyDescent="0.25">
      <c r="A8" s="6">
        <v>46231</v>
      </c>
      <c r="B8" s="7" t="s">
        <v>8</v>
      </c>
      <c r="C8" s="7" t="s">
        <v>9</v>
      </c>
      <c r="D8" s="7" t="s">
        <v>672</v>
      </c>
      <c r="F8" s="37"/>
      <c r="G8" s="37"/>
      <c r="H8" s="37"/>
      <c r="I8" s="37"/>
      <c r="J8" s="37"/>
      <c r="K8" s="37"/>
      <c r="R8" s="2" t="s">
        <v>81</v>
      </c>
      <c r="S8" s="8" t="s">
        <v>93</v>
      </c>
    </row>
    <row r="9" spans="1:22" x14ac:dyDescent="0.25">
      <c r="A9" s="6">
        <v>46231</v>
      </c>
      <c r="B9" s="7" t="s">
        <v>492</v>
      </c>
      <c r="C9" s="7" t="s">
        <v>340</v>
      </c>
      <c r="D9" s="7" t="s">
        <v>56</v>
      </c>
      <c r="F9" s="2" t="s">
        <v>0</v>
      </c>
      <c r="G9" s="4">
        <v>46205</v>
      </c>
      <c r="H9" s="2" t="s">
        <v>2</v>
      </c>
      <c r="I9" s="1" t="s">
        <v>22</v>
      </c>
      <c r="J9" s="2" t="s">
        <v>11</v>
      </c>
      <c r="K9" s="1" t="s">
        <v>14</v>
      </c>
      <c r="R9" s="2" t="s">
        <v>82</v>
      </c>
      <c r="S9" s="10">
        <f>S10+S11</f>
        <v>0.52</v>
      </c>
    </row>
    <row r="10" spans="1:22" x14ac:dyDescent="0.25">
      <c r="A10" s="6">
        <v>46239</v>
      </c>
      <c r="B10" s="7" t="s">
        <v>465</v>
      </c>
      <c r="C10" s="7" t="s">
        <v>31</v>
      </c>
      <c r="D10" s="7" t="s">
        <v>56</v>
      </c>
      <c r="F10" s="32" t="s">
        <v>400</v>
      </c>
      <c r="G10" s="32"/>
      <c r="H10" s="32"/>
      <c r="I10" s="32"/>
      <c r="J10" s="32"/>
      <c r="K10" s="32"/>
      <c r="R10" s="2" t="s">
        <v>83</v>
      </c>
      <c r="S10" s="8">
        <v>0.50790000000000002</v>
      </c>
    </row>
    <row r="11" spans="1:22" x14ac:dyDescent="0.25">
      <c r="A11" s="6">
        <v>46251</v>
      </c>
      <c r="B11" s="7" t="s">
        <v>820</v>
      </c>
      <c r="C11" s="7" t="s">
        <v>774</v>
      </c>
      <c r="D11" s="7" t="s">
        <v>900</v>
      </c>
      <c r="F11" s="32"/>
      <c r="G11" s="32"/>
      <c r="H11" s="32"/>
      <c r="I11" s="32"/>
      <c r="J11" s="32"/>
      <c r="K11" s="32"/>
      <c r="R11" s="2" t="s">
        <v>84</v>
      </c>
      <c r="S11" s="10">
        <v>1.21E-2</v>
      </c>
    </row>
    <row r="12" spans="1:22" x14ac:dyDescent="0.25">
      <c r="A12" s="6">
        <v>46251</v>
      </c>
      <c r="B12" s="7" t="s">
        <v>492</v>
      </c>
      <c r="C12" s="7" t="s">
        <v>340</v>
      </c>
      <c r="D12" s="7" t="s">
        <v>911</v>
      </c>
      <c r="F12" s="32"/>
      <c r="G12" s="32"/>
      <c r="H12" s="32"/>
      <c r="I12" s="32"/>
      <c r="J12" s="32"/>
      <c r="K12" s="32"/>
      <c r="R12" s="2" t="s">
        <v>115</v>
      </c>
      <c r="S12" s="8"/>
    </row>
    <row r="13" spans="1:22" x14ac:dyDescent="0.25">
      <c r="A13" s="6">
        <v>46260</v>
      </c>
      <c r="B13" s="7" t="s">
        <v>8</v>
      </c>
      <c r="C13" s="7" t="s">
        <v>22</v>
      </c>
      <c r="D13" s="7" t="s">
        <v>994</v>
      </c>
      <c r="F13" s="2" t="s">
        <v>0</v>
      </c>
      <c r="G13" s="4">
        <v>46206</v>
      </c>
      <c r="H13" s="2" t="s">
        <v>2</v>
      </c>
      <c r="I13" s="1" t="s">
        <v>47</v>
      </c>
      <c r="J13" s="2" t="s">
        <v>11</v>
      </c>
      <c r="K13" s="1" t="s">
        <v>14</v>
      </c>
      <c r="R13" s="2" t="s">
        <v>11</v>
      </c>
      <c r="S13" s="8" t="s">
        <v>120</v>
      </c>
    </row>
    <row r="14" spans="1:22" x14ac:dyDescent="0.25">
      <c r="A14" s="6">
        <v>46262</v>
      </c>
      <c r="B14" s="7" t="s">
        <v>1001</v>
      </c>
      <c r="C14" s="7" t="s">
        <v>22</v>
      </c>
      <c r="D14" s="7" t="s">
        <v>56</v>
      </c>
      <c r="F14" s="37" t="s">
        <v>401</v>
      </c>
      <c r="G14" s="37"/>
      <c r="H14" s="37"/>
      <c r="I14" s="37"/>
      <c r="J14" s="37"/>
      <c r="K14" s="37"/>
      <c r="R14" s="2" t="s">
        <v>76</v>
      </c>
      <c r="S14" s="8" t="s">
        <v>124</v>
      </c>
    </row>
    <row r="15" spans="1:22" x14ac:dyDescent="0.25">
      <c r="A15" s="6">
        <v>46241</v>
      </c>
      <c r="B15" s="7" t="s">
        <v>492</v>
      </c>
      <c r="C15" s="7" t="s">
        <v>340</v>
      </c>
      <c r="D15" s="7" t="s">
        <v>416</v>
      </c>
      <c r="F15" s="37"/>
      <c r="G15" s="37"/>
      <c r="H15" s="37"/>
      <c r="I15" s="37"/>
      <c r="J15" s="37"/>
      <c r="K15" s="37"/>
      <c r="R15" s="2" t="s">
        <v>77</v>
      </c>
      <c r="S15" s="8"/>
    </row>
    <row r="16" spans="1:22" x14ac:dyDescent="0.25">
      <c r="A16" s="6">
        <v>46275</v>
      </c>
      <c r="B16" s="7" t="s">
        <v>1110</v>
      </c>
      <c r="C16" s="7" t="s">
        <v>22</v>
      </c>
      <c r="D16" s="7" t="s">
        <v>1092</v>
      </c>
      <c r="F16" s="2" t="s">
        <v>0</v>
      </c>
      <c r="G16" s="4">
        <v>46213</v>
      </c>
      <c r="H16" s="2" t="s">
        <v>2</v>
      </c>
      <c r="I16" s="1" t="s">
        <v>22</v>
      </c>
      <c r="J16" s="2" t="s">
        <v>11</v>
      </c>
      <c r="K16" s="1" t="s">
        <v>14</v>
      </c>
      <c r="R16" s="2" t="s">
        <v>78</v>
      </c>
      <c r="S16" s="8" t="s">
        <v>101</v>
      </c>
    </row>
    <row r="17" spans="1:19" x14ac:dyDescent="0.25">
      <c r="A17" s="6">
        <v>46276</v>
      </c>
      <c r="B17" s="7" t="s">
        <v>1089</v>
      </c>
      <c r="C17" s="7" t="s">
        <v>31</v>
      </c>
      <c r="D17" s="7" t="s">
        <v>1090</v>
      </c>
      <c r="F17" s="37" t="s">
        <v>491</v>
      </c>
      <c r="G17" s="37"/>
      <c r="H17" s="37"/>
      <c r="I17" s="37"/>
      <c r="J17" s="37"/>
      <c r="K17" s="37"/>
      <c r="R17" s="2" t="s">
        <v>92</v>
      </c>
      <c r="S17" s="8" t="s">
        <v>122</v>
      </c>
    </row>
    <row r="18" spans="1:19" x14ac:dyDescent="0.25">
      <c r="F18" s="37"/>
      <c r="G18" s="37"/>
      <c r="H18" s="37"/>
      <c r="I18" s="37"/>
      <c r="J18" s="37"/>
      <c r="K18" s="37"/>
      <c r="R18" s="2" t="s">
        <v>80</v>
      </c>
      <c r="S18" s="8" t="s">
        <v>123</v>
      </c>
    </row>
    <row r="19" spans="1:19" x14ac:dyDescent="0.25">
      <c r="F19" s="37"/>
      <c r="G19" s="37"/>
      <c r="H19" s="37"/>
      <c r="I19" s="37"/>
      <c r="J19" s="37"/>
      <c r="K19" s="37"/>
      <c r="R19" s="2" t="s">
        <v>81</v>
      </c>
      <c r="S19" s="8" t="s">
        <v>93</v>
      </c>
    </row>
    <row r="20" spans="1:19" x14ac:dyDescent="0.25">
      <c r="F20" s="2" t="s">
        <v>0</v>
      </c>
      <c r="G20" s="4">
        <v>46224</v>
      </c>
      <c r="H20" s="2" t="s">
        <v>2</v>
      </c>
      <c r="I20" s="1" t="s">
        <v>22</v>
      </c>
      <c r="J20" s="2" t="s">
        <v>11</v>
      </c>
      <c r="K20" s="1" t="s">
        <v>14</v>
      </c>
      <c r="R20" s="2" t="s">
        <v>82</v>
      </c>
      <c r="S20" s="8">
        <f>S21+S22</f>
        <v>0.2152</v>
      </c>
    </row>
    <row r="21" spans="1:19" x14ac:dyDescent="0.25">
      <c r="F21" s="37" t="s">
        <v>577</v>
      </c>
      <c r="G21" s="37"/>
      <c r="H21" s="37"/>
      <c r="I21" s="37"/>
      <c r="J21" s="37"/>
      <c r="K21" s="37"/>
      <c r="R21" s="2" t="s">
        <v>83</v>
      </c>
      <c r="S21" s="8">
        <v>0.2152</v>
      </c>
    </row>
    <row r="22" spans="1:19" x14ac:dyDescent="0.25">
      <c r="F22" s="37"/>
      <c r="G22" s="37"/>
      <c r="H22" s="37"/>
      <c r="I22" s="37"/>
      <c r="J22" s="37"/>
      <c r="K22" s="37"/>
      <c r="R22" s="2" t="s">
        <v>84</v>
      </c>
      <c r="S22" s="10">
        <v>0</v>
      </c>
    </row>
    <row r="23" spans="1:19" x14ac:dyDescent="0.25">
      <c r="F23" s="2" t="s">
        <v>0</v>
      </c>
      <c r="G23" s="4">
        <v>46231</v>
      </c>
      <c r="H23" s="2" t="s">
        <v>2</v>
      </c>
      <c r="I23" s="1" t="s">
        <v>22</v>
      </c>
      <c r="J23" s="2" t="s">
        <v>11</v>
      </c>
      <c r="K23" s="1" t="s">
        <v>14</v>
      </c>
      <c r="R23" s="2" t="s">
        <v>115</v>
      </c>
      <c r="S23" s="8"/>
    </row>
    <row r="24" spans="1:19" x14ac:dyDescent="0.25">
      <c r="F24" s="37" t="s">
        <v>681</v>
      </c>
      <c r="G24" s="37"/>
      <c r="H24" s="37"/>
      <c r="I24" s="37"/>
      <c r="J24" s="37"/>
      <c r="K24" s="37"/>
      <c r="R24" s="2" t="s">
        <v>85</v>
      </c>
      <c r="S24" s="8">
        <f>S21+S10</f>
        <v>0.72310000000000008</v>
      </c>
    </row>
    <row r="25" spans="1:19" x14ac:dyDescent="0.25">
      <c r="F25" s="37"/>
      <c r="G25" s="37"/>
      <c r="H25" s="37"/>
      <c r="I25" s="37"/>
      <c r="J25" s="37"/>
      <c r="K25" s="37"/>
      <c r="R25" s="2" t="s">
        <v>86</v>
      </c>
      <c r="S25" s="10">
        <f>S24*12.032</f>
        <v>8.7003392000000002</v>
      </c>
    </row>
    <row r="26" spans="1:19" x14ac:dyDescent="0.25">
      <c r="F26" s="37"/>
      <c r="G26" s="37"/>
      <c r="H26" s="37"/>
      <c r="I26" s="37"/>
      <c r="J26" s="37"/>
      <c r="K26" s="37"/>
    </row>
    <row r="27" spans="1:19" x14ac:dyDescent="0.25">
      <c r="F27" s="2" t="s">
        <v>0</v>
      </c>
      <c r="G27" s="4">
        <v>46244</v>
      </c>
      <c r="H27" s="2" t="s">
        <v>2</v>
      </c>
      <c r="I27" s="1" t="s">
        <v>47</v>
      </c>
      <c r="J27" s="2" t="s">
        <v>11</v>
      </c>
      <c r="K27" s="1" t="s">
        <v>14</v>
      </c>
    </row>
    <row r="28" spans="1:19" x14ac:dyDescent="0.25">
      <c r="F28" s="37" t="s">
        <v>843</v>
      </c>
      <c r="G28" s="37"/>
      <c r="H28" s="37"/>
      <c r="I28" s="37"/>
      <c r="J28" s="37"/>
      <c r="K28" s="37"/>
    </row>
    <row r="29" spans="1:19" x14ac:dyDescent="0.25">
      <c r="F29" s="37"/>
      <c r="G29" s="37"/>
      <c r="H29" s="37"/>
      <c r="I29" s="37"/>
      <c r="J29" s="37"/>
      <c r="K29" s="37"/>
    </row>
    <row r="30" spans="1:19" x14ac:dyDescent="0.25">
      <c r="F30" s="2" t="s">
        <v>0</v>
      </c>
      <c r="G30" s="4">
        <v>46251</v>
      </c>
      <c r="H30" s="2" t="s">
        <v>2</v>
      </c>
      <c r="I30" s="1" t="s">
        <v>436</v>
      </c>
      <c r="J30" s="2" t="s">
        <v>11</v>
      </c>
      <c r="K30" s="1" t="s">
        <v>14</v>
      </c>
    </row>
    <row r="31" spans="1:19" x14ac:dyDescent="0.25">
      <c r="F31" s="37" t="s">
        <v>912</v>
      </c>
      <c r="G31" s="37"/>
      <c r="H31" s="37"/>
      <c r="I31" s="37"/>
      <c r="J31" s="37"/>
      <c r="K31" s="37"/>
    </row>
    <row r="32" spans="1:19" x14ac:dyDescent="0.25">
      <c r="F32" s="37"/>
      <c r="G32" s="37"/>
      <c r="H32" s="37"/>
      <c r="I32" s="37"/>
      <c r="J32" s="37"/>
      <c r="K32" s="37"/>
    </row>
    <row r="33" spans="6:11" x14ac:dyDescent="0.25">
      <c r="F33" s="2" t="s">
        <v>0</v>
      </c>
      <c r="G33" s="4">
        <v>46260</v>
      </c>
      <c r="H33" s="2" t="s">
        <v>2</v>
      </c>
      <c r="I33" s="1" t="s">
        <v>22</v>
      </c>
      <c r="J33" s="2" t="s">
        <v>11</v>
      </c>
      <c r="K33" s="1" t="s">
        <v>14</v>
      </c>
    </row>
    <row r="34" spans="6:11" ht="14.45" customHeight="1" x14ac:dyDescent="0.25">
      <c r="F34" s="37" t="s">
        <v>998</v>
      </c>
      <c r="G34" s="37"/>
      <c r="H34" s="37"/>
      <c r="I34" s="37"/>
      <c r="J34" s="37"/>
      <c r="K34" s="37"/>
    </row>
    <row r="35" spans="6:11" x14ac:dyDescent="0.25">
      <c r="F35" s="37"/>
      <c r="G35" s="37"/>
      <c r="H35" s="37"/>
      <c r="I35" s="37"/>
      <c r="J35" s="37"/>
      <c r="K35" s="37"/>
    </row>
    <row r="36" spans="6:11" x14ac:dyDescent="0.25">
      <c r="F36" s="37"/>
      <c r="G36" s="37"/>
      <c r="H36" s="37"/>
      <c r="I36" s="37"/>
      <c r="J36" s="37"/>
      <c r="K36" s="37"/>
    </row>
    <row r="37" spans="6:11" x14ac:dyDescent="0.25">
      <c r="F37" s="37"/>
      <c r="G37" s="37"/>
      <c r="H37" s="37"/>
      <c r="I37" s="37"/>
      <c r="J37" s="37"/>
      <c r="K37" s="37"/>
    </row>
    <row r="38" spans="6:11" x14ac:dyDescent="0.25">
      <c r="F38" s="37"/>
      <c r="G38" s="37"/>
      <c r="H38" s="37"/>
      <c r="I38" s="37"/>
      <c r="J38" s="37"/>
      <c r="K38" s="37"/>
    </row>
    <row r="39" spans="6:11" x14ac:dyDescent="0.25">
      <c r="F39" s="2" t="s">
        <v>0</v>
      </c>
      <c r="G39" s="4">
        <v>46262</v>
      </c>
      <c r="H39" s="2" t="s">
        <v>2</v>
      </c>
      <c r="I39" s="1" t="s">
        <v>22</v>
      </c>
      <c r="J39" s="2" t="s">
        <v>11</v>
      </c>
      <c r="K39" s="1" t="s">
        <v>14</v>
      </c>
    </row>
    <row r="40" spans="6:11" x14ac:dyDescent="0.25">
      <c r="F40" s="32" t="s">
        <v>1010</v>
      </c>
      <c r="G40" s="32"/>
      <c r="H40" s="32"/>
      <c r="I40" s="32"/>
      <c r="J40" s="32"/>
      <c r="K40" s="32"/>
    </row>
    <row r="41" spans="6:11" x14ac:dyDescent="0.25">
      <c r="F41" s="32"/>
      <c r="G41" s="32"/>
      <c r="H41" s="32"/>
      <c r="I41" s="32"/>
      <c r="J41" s="32"/>
      <c r="K41" s="32"/>
    </row>
    <row r="42" spans="6:11" x14ac:dyDescent="0.25">
      <c r="F42" s="2" t="s">
        <v>0</v>
      </c>
      <c r="G42" s="4">
        <v>46268</v>
      </c>
      <c r="H42" s="2" t="s">
        <v>2</v>
      </c>
      <c r="I42" s="1" t="s">
        <v>47</v>
      </c>
      <c r="J42" s="2" t="s">
        <v>11</v>
      </c>
      <c r="K42" s="1" t="s">
        <v>14</v>
      </c>
    </row>
    <row r="43" spans="6:11" x14ac:dyDescent="0.25">
      <c r="F43" s="37" t="s">
        <v>1072</v>
      </c>
      <c r="G43" s="37"/>
      <c r="H43" s="37"/>
      <c r="I43" s="37"/>
      <c r="J43" s="37"/>
      <c r="K43" s="37"/>
    </row>
    <row r="44" spans="6:11" x14ac:dyDescent="0.25">
      <c r="F44" s="37"/>
      <c r="G44" s="37"/>
      <c r="H44" s="37"/>
      <c r="I44" s="37"/>
      <c r="J44" s="37"/>
      <c r="K44" s="37"/>
    </row>
    <row r="45" spans="6:11" x14ac:dyDescent="0.25">
      <c r="F45" s="2" t="s">
        <v>0</v>
      </c>
      <c r="G45" s="4">
        <v>46275</v>
      </c>
      <c r="H45" s="2" t="s">
        <v>2</v>
      </c>
      <c r="I45" s="1" t="s">
        <v>22</v>
      </c>
      <c r="J45" s="2" t="s">
        <v>11</v>
      </c>
      <c r="K45" s="1" t="s">
        <v>14</v>
      </c>
    </row>
    <row r="46" spans="6:11" ht="14.45" customHeight="1" x14ac:dyDescent="0.25">
      <c r="F46" s="37" t="s">
        <v>1122</v>
      </c>
      <c r="G46" s="37"/>
      <c r="H46" s="37"/>
      <c r="I46" s="37"/>
      <c r="J46" s="37"/>
      <c r="K46" s="37"/>
    </row>
    <row r="47" spans="6:11" x14ac:dyDescent="0.25">
      <c r="F47" s="37"/>
      <c r="G47" s="37"/>
      <c r="H47" s="37"/>
      <c r="I47" s="37"/>
      <c r="J47" s="37"/>
      <c r="K47" s="37"/>
    </row>
    <row r="48" spans="6:11" x14ac:dyDescent="0.25">
      <c r="F48" s="37"/>
      <c r="G48" s="37"/>
      <c r="H48" s="37"/>
      <c r="I48" s="37"/>
      <c r="J48" s="37"/>
      <c r="K48" s="37"/>
    </row>
    <row r="49" spans="6:11" x14ac:dyDescent="0.25">
      <c r="F49" s="37"/>
      <c r="G49" s="37"/>
      <c r="H49" s="37"/>
      <c r="I49" s="37"/>
      <c r="J49" s="37"/>
      <c r="K49" s="37"/>
    </row>
  </sheetData>
  <mergeCells count="17">
    <mergeCell ref="U1:V1"/>
    <mergeCell ref="F6:K8"/>
    <mergeCell ref="R1:S1"/>
    <mergeCell ref="F3:K4"/>
    <mergeCell ref="F1:K1"/>
    <mergeCell ref="M1:P1"/>
    <mergeCell ref="F46:K49"/>
    <mergeCell ref="F43:K44"/>
    <mergeCell ref="F40:K41"/>
    <mergeCell ref="F17:K19"/>
    <mergeCell ref="F10:K12"/>
    <mergeCell ref="F14:K15"/>
    <mergeCell ref="F34:K38"/>
    <mergeCell ref="F31:K32"/>
    <mergeCell ref="F28:K29"/>
    <mergeCell ref="F24:K26"/>
    <mergeCell ref="F21:K2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BFB34-808A-476E-B6ED-8F410584A3FA}">
  <dimension ref="A1:V111"/>
  <sheetViews>
    <sheetView topLeftCell="A18" workbookViewId="0">
      <selection activeCell="B35" sqref="B35"/>
    </sheetView>
  </sheetViews>
  <sheetFormatPr baseColWidth="10" defaultRowHeight="15" x14ac:dyDescent="0.25"/>
  <cols>
    <col min="1" max="1" width="11.5703125" style="1"/>
    <col min="2" max="2" width="21.7109375" style="7" bestFit="1" customWidth="1"/>
    <col min="3" max="3" width="11.5703125" style="7"/>
    <col min="4" max="4" width="27.5703125" style="7" bestFit="1" customWidth="1"/>
    <col min="18" max="18" width="21.28515625" bestFit="1" customWidth="1"/>
    <col min="19" max="19" width="19.425781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x14ac:dyDescent="0.25">
      <c r="A2" s="6">
        <v>46196</v>
      </c>
      <c r="B2" s="7" t="s">
        <v>8</v>
      </c>
      <c r="C2" s="7" t="s">
        <v>9</v>
      </c>
      <c r="D2" s="7" t="s">
        <v>10</v>
      </c>
      <c r="F2" s="2" t="s">
        <v>0</v>
      </c>
      <c r="G2" s="4">
        <v>46196</v>
      </c>
      <c r="H2" s="2" t="s">
        <v>2</v>
      </c>
      <c r="I2" s="1" t="s">
        <v>22</v>
      </c>
      <c r="J2" s="2" t="s">
        <v>11</v>
      </c>
      <c r="K2" s="1" t="s">
        <v>27</v>
      </c>
      <c r="M2" s="2" t="s">
        <v>0</v>
      </c>
      <c r="N2" s="1"/>
      <c r="O2" s="2" t="s">
        <v>6</v>
      </c>
      <c r="P2" s="1"/>
      <c r="R2" s="2" t="s">
        <v>11</v>
      </c>
      <c r="S2" s="8" t="s">
        <v>27</v>
      </c>
      <c r="U2" s="3" t="s">
        <v>0</v>
      </c>
      <c r="V2" s="3" t="s">
        <v>88</v>
      </c>
    </row>
    <row r="3" spans="1:22" x14ac:dyDescent="0.25">
      <c r="A3" s="6">
        <v>46196</v>
      </c>
      <c r="B3" s="7" t="s">
        <v>25</v>
      </c>
      <c r="C3" s="7" t="s">
        <v>9</v>
      </c>
      <c r="D3" s="7" t="s">
        <v>26</v>
      </c>
      <c r="F3" s="37" t="s">
        <v>24</v>
      </c>
      <c r="G3" s="37"/>
      <c r="H3" s="37"/>
      <c r="I3" s="37"/>
      <c r="J3" s="37"/>
      <c r="K3" s="37"/>
      <c r="R3" s="2" t="s">
        <v>76</v>
      </c>
      <c r="S3" s="8" t="s">
        <v>125</v>
      </c>
    </row>
    <row r="4" spans="1:22" x14ac:dyDescent="0.25">
      <c r="A4" s="6">
        <v>46202</v>
      </c>
      <c r="B4" s="7" t="s">
        <v>339</v>
      </c>
      <c r="C4" s="7" t="s">
        <v>340</v>
      </c>
      <c r="D4" s="7" t="s">
        <v>56</v>
      </c>
      <c r="F4" s="37"/>
      <c r="G4" s="37"/>
      <c r="H4" s="37"/>
      <c r="I4" s="37"/>
      <c r="J4" s="37"/>
      <c r="K4" s="37"/>
      <c r="R4" s="2" t="s">
        <v>77</v>
      </c>
      <c r="S4" s="8"/>
    </row>
    <row r="5" spans="1:22" x14ac:dyDescent="0.25">
      <c r="A5" s="6">
        <v>46206</v>
      </c>
      <c r="B5" s="7" t="s">
        <v>390</v>
      </c>
      <c r="C5" s="7" t="s">
        <v>63</v>
      </c>
      <c r="D5" s="7" t="s">
        <v>393</v>
      </c>
      <c r="F5" s="2" t="s">
        <v>0</v>
      </c>
      <c r="G5" s="4">
        <v>46196</v>
      </c>
      <c r="H5" s="2" t="s">
        <v>2</v>
      </c>
      <c r="I5" s="1" t="s">
        <v>22</v>
      </c>
      <c r="J5" s="2" t="s">
        <v>11</v>
      </c>
      <c r="K5" s="1" t="s">
        <v>28</v>
      </c>
      <c r="R5" s="2" t="s">
        <v>78</v>
      </c>
      <c r="S5" s="8" t="s">
        <v>101</v>
      </c>
    </row>
    <row r="6" spans="1:22" x14ac:dyDescent="0.25">
      <c r="A6" s="6">
        <v>46209</v>
      </c>
      <c r="B6" s="7" t="s">
        <v>30</v>
      </c>
      <c r="C6" s="7" t="s">
        <v>31</v>
      </c>
      <c r="D6" s="7" t="s">
        <v>434</v>
      </c>
      <c r="F6" s="37" t="s">
        <v>29</v>
      </c>
      <c r="G6" s="37"/>
      <c r="H6" s="37"/>
      <c r="I6" s="37"/>
      <c r="J6" s="37"/>
      <c r="K6" s="37"/>
      <c r="R6" s="2" t="s">
        <v>92</v>
      </c>
      <c r="S6" s="8" t="s">
        <v>112</v>
      </c>
    </row>
    <row r="7" spans="1:22" x14ac:dyDescent="0.25">
      <c r="A7" s="6">
        <v>46213</v>
      </c>
      <c r="B7" s="7" t="s">
        <v>8</v>
      </c>
      <c r="C7" s="7" t="s">
        <v>9</v>
      </c>
      <c r="D7" s="7" t="s">
        <v>477</v>
      </c>
      <c r="F7" s="37"/>
      <c r="G7" s="37"/>
      <c r="H7" s="37"/>
      <c r="I7" s="37"/>
      <c r="J7" s="37"/>
      <c r="K7" s="37"/>
      <c r="R7" s="2" t="s">
        <v>80</v>
      </c>
      <c r="S7" s="8" t="s">
        <v>126</v>
      </c>
    </row>
    <row r="8" spans="1:22" x14ac:dyDescent="0.25">
      <c r="A8" s="6">
        <v>46218</v>
      </c>
      <c r="B8" s="7" t="s">
        <v>438</v>
      </c>
      <c r="C8" s="7" t="s">
        <v>466</v>
      </c>
      <c r="D8" s="7" t="s">
        <v>520</v>
      </c>
      <c r="F8" s="2" t="s">
        <v>0</v>
      </c>
      <c r="G8" s="4">
        <v>46202</v>
      </c>
      <c r="H8" s="2" t="s">
        <v>2</v>
      </c>
      <c r="I8" s="1" t="s">
        <v>35</v>
      </c>
      <c r="J8" s="2" t="s">
        <v>11</v>
      </c>
      <c r="K8" s="1" t="s">
        <v>27</v>
      </c>
      <c r="R8" s="2" t="s">
        <v>81</v>
      </c>
      <c r="S8" s="8" t="s">
        <v>93</v>
      </c>
    </row>
    <row r="9" spans="1:22" x14ac:dyDescent="0.25">
      <c r="A9" s="6">
        <v>46219</v>
      </c>
      <c r="B9" s="7" t="s">
        <v>438</v>
      </c>
      <c r="C9" s="7" t="s">
        <v>466</v>
      </c>
      <c r="D9" s="7" t="s">
        <v>520</v>
      </c>
      <c r="F9" s="37" t="s">
        <v>338</v>
      </c>
      <c r="G9" s="37"/>
      <c r="H9" s="37"/>
      <c r="I9" s="37"/>
      <c r="J9" s="37"/>
      <c r="K9" s="37"/>
      <c r="R9" s="2" t="s">
        <v>82</v>
      </c>
      <c r="S9" s="10">
        <f>S10+S11</f>
        <v>1.0580999999999998</v>
      </c>
    </row>
    <row r="10" spans="1:22" x14ac:dyDescent="0.25">
      <c r="A10" s="6">
        <v>46220</v>
      </c>
      <c r="B10" s="7" t="s">
        <v>30</v>
      </c>
      <c r="C10" s="7" t="s">
        <v>31</v>
      </c>
      <c r="D10" s="7" t="s">
        <v>538</v>
      </c>
      <c r="F10" s="37"/>
      <c r="G10" s="37"/>
      <c r="H10" s="37"/>
      <c r="I10" s="37"/>
      <c r="J10" s="37"/>
      <c r="K10" s="37"/>
      <c r="R10" s="2" t="s">
        <v>83</v>
      </c>
      <c r="S10" s="8">
        <v>1.0048999999999999</v>
      </c>
    </row>
    <row r="11" spans="1:22" x14ac:dyDescent="0.25">
      <c r="A11" s="6">
        <v>46220</v>
      </c>
      <c r="B11" s="7" t="s">
        <v>438</v>
      </c>
      <c r="C11" s="7" t="s">
        <v>466</v>
      </c>
      <c r="D11" s="7" t="s">
        <v>345</v>
      </c>
      <c r="F11" s="2" t="s">
        <v>0</v>
      </c>
      <c r="G11" s="4">
        <v>46204</v>
      </c>
      <c r="H11" s="2" t="s">
        <v>2</v>
      </c>
      <c r="I11" s="1" t="s">
        <v>22</v>
      </c>
      <c r="J11" s="2" t="s">
        <v>11</v>
      </c>
      <c r="K11" s="1" t="s">
        <v>28</v>
      </c>
      <c r="R11" s="2" t="s">
        <v>84</v>
      </c>
      <c r="S11" s="10">
        <f>0.0481+0.0051</f>
        <v>5.3199999999999997E-2</v>
      </c>
    </row>
    <row r="12" spans="1:22" x14ac:dyDescent="0.25">
      <c r="A12" s="6">
        <v>46224</v>
      </c>
      <c r="B12" s="7" t="s">
        <v>573</v>
      </c>
      <c r="C12" s="7" t="s">
        <v>9</v>
      </c>
      <c r="D12" s="7" t="s">
        <v>574</v>
      </c>
      <c r="F12" s="37" t="s">
        <v>367</v>
      </c>
      <c r="G12" s="37"/>
      <c r="H12" s="37"/>
      <c r="I12" s="37"/>
      <c r="J12" s="37"/>
      <c r="K12" s="37"/>
      <c r="R12" s="2" t="s">
        <v>115</v>
      </c>
      <c r="S12" s="8"/>
    </row>
    <row r="13" spans="1:22" x14ac:dyDescent="0.25">
      <c r="A13" s="6">
        <v>46224</v>
      </c>
      <c r="B13" s="7" t="s">
        <v>339</v>
      </c>
      <c r="C13" s="7" t="s">
        <v>340</v>
      </c>
      <c r="D13" s="7" t="s">
        <v>27</v>
      </c>
      <c r="F13" s="37"/>
      <c r="G13" s="37"/>
      <c r="H13" s="37"/>
      <c r="I13" s="37"/>
      <c r="J13" s="37"/>
      <c r="K13" s="37"/>
      <c r="R13" s="2" t="s">
        <v>11</v>
      </c>
      <c r="S13" s="8" t="s">
        <v>28</v>
      </c>
    </row>
    <row r="14" spans="1:22" x14ac:dyDescent="0.25">
      <c r="A14" s="6">
        <v>46225</v>
      </c>
      <c r="B14" s="7" t="s">
        <v>339</v>
      </c>
      <c r="C14" s="7" t="s">
        <v>340</v>
      </c>
      <c r="D14" s="7" t="s">
        <v>28</v>
      </c>
      <c r="F14" s="2" t="s">
        <v>0</v>
      </c>
      <c r="G14" s="4">
        <v>46213</v>
      </c>
      <c r="H14" s="2" t="s">
        <v>2</v>
      </c>
      <c r="I14" s="1" t="s">
        <v>22</v>
      </c>
      <c r="J14" s="2" t="s">
        <v>11</v>
      </c>
      <c r="K14" s="1" t="s">
        <v>28</v>
      </c>
      <c r="R14" s="2" t="s">
        <v>76</v>
      </c>
      <c r="S14" s="8" t="s">
        <v>127</v>
      </c>
    </row>
    <row r="15" spans="1:22" ht="14.45" customHeight="1" x14ac:dyDescent="0.25">
      <c r="A15" s="6">
        <v>46226</v>
      </c>
      <c r="B15" s="7" t="s">
        <v>30</v>
      </c>
      <c r="C15" s="7" t="s">
        <v>31</v>
      </c>
      <c r="D15" s="7" t="s">
        <v>609</v>
      </c>
      <c r="F15" s="37" t="s">
        <v>489</v>
      </c>
      <c r="G15" s="37"/>
      <c r="H15" s="37"/>
      <c r="I15" s="37"/>
      <c r="J15" s="37"/>
      <c r="K15" s="37"/>
      <c r="R15" s="2" t="s">
        <v>77</v>
      </c>
      <c r="S15" s="8"/>
    </row>
    <row r="16" spans="1:22" x14ac:dyDescent="0.25">
      <c r="A16" s="6">
        <v>46226</v>
      </c>
      <c r="B16" s="7" t="s">
        <v>390</v>
      </c>
      <c r="C16" s="7" t="s">
        <v>63</v>
      </c>
      <c r="D16" s="7" t="s">
        <v>612</v>
      </c>
      <c r="F16" s="37"/>
      <c r="G16" s="37"/>
      <c r="H16" s="37"/>
      <c r="I16" s="37"/>
      <c r="J16" s="37"/>
      <c r="K16" s="37"/>
      <c r="R16" s="2" t="s">
        <v>78</v>
      </c>
      <c r="S16" s="8" t="s">
        <v>101</v>
      </c>
    </row>
    <row r="17" spans="1:19" x14ac:dyDescent="0.25">
      <c r="A17" s="6">
        <v>46231</v>
      </c>
      <c r="B17" s="7" t="s">
        <v>8</v>
      </c>
      <c r="C17" s="7" t="s">
        <v>9</v>
      </c>
      <c r="D17" s="7" t="s">
        <v>672</v>
      </c>
      <c r="F17" s="37"/>
      <c r="G17" s="37"/>
      <c r="H17" s="37"/>
      <c r="I17" s="37"/>
      <c r="J17" s="37"/>
      <c r="K17" s="37"/>
      <c r="R17" s="2" t="s">
        <v>92</v>
      </c>
      <c r="S17" s="8" t="s">
        <v>112</v>
      </c>
    </row>
    <row r="18" spans="1:19" x14ac:dyDescent="0.25">
      <c r="A18" s="6">
        <v>46231</v>
      </c>
      <c r="B18" s="7" t="s">
        <v>339</v>
      </c>
      <c r="C18" s="7" t="s">
        <v>340</v>
      </c>
      <c r="D18" s="7" t="s">
        <v>679</v>
      </c>
      <c r="F18" s="37"/>
      <c r="G18" s="37"/>
      <c r="H18" s="37"/>
      <c r="I18" s="37"/>
      <c r="J18" s="37"/>
      <c r="K18" s="37"/>
      <c r="R18" s="2" t="s">
        <v>80</v>
      </c>
      <c r="S18" s="8" t="s">
        <v>126</v>
      </c>
    </row>
    <row r="19" spans="1:19" x14ac:dyDescent="0.25">
      <c r="A19" s="6">
        <v>46239</v>
      </c>
      <c r="B19" s="7" t="s">
        <v>465</v>
      </c>
      <c r="C19" s="7" t="s">
        <v>31</v>
      </c>
      <c r="D19" s="7" t="s">
        <v>45</v>
      </c>
      <c r="F19" s="2" t="s">
        <v>0</v>
      </c>
      <c r="G19" s="4">
        <v>46213</v>
      </c>
      <c r="H19" s="2" t="s">
        <v>2</v>
      </c>
      <c r="I19" s="1" t="s">
        <v>22</v>
      </c>
      <c r="J19" s="2" t="s">
        <v>11</v>
      </c>
      <c r="K19" s="1" t="s">
        <v>27</v>
      </c>
      <c r="R19" s="2" t="s">
        <v>81</v>
      </c>
      <c r="S19" s="8" t="s">
        <v>93</v>
      </c>
    </row>
    <row r="20" spans="1:19" x14ac:dyDescent="0.25">
      <c r="A20" s="6">
        <v>46241</v>
      </c>
      <c r="B20" s="7" t="s">
        <v>465</v>
      </c>
      <c r="C20" s="7" t="s">
        <v>31</v>
      </c>
      <c r="D20" s="7" t="s">
        <v>814</v>
      </c>
      <c r="F20" s="37" t="s">
        <v>490</v>
      </c>
      <c r="G20" s="37"/>
      <c r="H20" s="37"/>
      <c r="I20" s="37"/>
      <c r="J20" s="37"/>
      <c r="K20" s="37"/>
      <c r="R20" s="2" t="s">
        <v>82</v>
      </c>
      <c r="S20" s="8">
        <f>S21+S22</f>
        <v>0.11470000000000001</v>
      </c>
    </row>
    <row r="21" spans="1:19" x14ac:dyDescent="0.25">
      <c r="A21" s="6">
        <v>46245</v>
      </c>
      <c r="B21" s="7" t="s">
        <v>339</v>
      </c>
      <c r="C21" s="7" t="s">
        <v>340</v>
      </c>
      <c r="D21" s="7" t="s">
        <v>27</v>
      </c>
      <c r="F21" s="37"/>
      <c r="G21" s="37"/>
      <c r="H21" s="37"/>
      <c r="I21" s="37"/>
      <c r="J21" s="37"/>
      <c r="K21" s="37"/>
      <c r="R21" s="2" t="s">
        <v>83</v>
      </c>
      <c r="S21" s="8">
        <v>0.10730000000000001</v>
      </c>
    </row>
    <row r="22" spans="1:19" x14ac:dyDescent="0.25">
      <c r="A22" s="6">
        <v>46246</v>
      </c>
      <c r="B22" s="7" t="s">
        <v>339</v>
      </c>
      <c r="C22" s="7" t="s">
        <v>340</v>
      </c>
      <c r="D22" s="7" t="s">
        <v>28</v>
      </c>
      <c r="F22" s="37"/>
      <c r="G22" s="37"/>
      <c r="H22" s="37"/>
      <c r="I22" s="37"/>
      <c r="J22" s="37"/>
      <c r="K22" s="37"/>
      <c r="R22" s="2" t="s">
        <v>84</v>
      </c>
      <c r="S22" s="10">
        <v>7.4000000000000003E-3</v>
      </c>
    </row>
    <row r="23" spans="1:19" x14ac:dyDescent="0.25">
      <c r="A23" s="6">
        <v>46242</v>
      </c>
      <c r="B23" s="7" t="s">
        <v>820</v>
      </c>
      <c r="C23" s="7" t="s">
        <v>63</v>
      </c>
      <c r="D23" s="7" t="s">
        <v>901</v>
      </c>
      <c r="F23" s="37"/>
      <c r="G23" s="37"/>
      <c r="H23" s="37"/>
      <c r="I23" s="37"/>
      <c r="J23" s="37"/>
      <c r="K23" s="37"/>
      <c r="R23" s="2" t="s">
        <v>115</v>
      </c>
      <c r="S23" s="8"/>
    </row>
    <row r="24" spans="1:19" x14ac:dyDescent="0.25">
      <c r="A24" s="6">
        <v>46242</v>
      </c>
      <c r="B24" s="7" t="s">
        <v>820</v>
      </c>
      <c r="C24" s="7" t="s">
        <v>63</v>
      </c>
      <c r="D24" s="7" t="s">
        <v>902</v>
      </c>
      <c r="F24" s="2" t="s">
        <v>0</v>
      </c>
      <c r="G24" s="4">
        <v>46224</v>
      </c>
      <c r="H24" s="2" t="s">
        <v>2</v>
      </c>
      <c r="I24" s="1" t="s">
        <v>22</v>
      </c>
      <c r="J24" s="2" t="s">
        <v>11</v>
      </c>
      <c r="K24" s="1" t="s">
        <v>14</v>
      </c>
      <c r="R24" s="2" t="s">
        <v>85</v>
      </c>
      <c r="S24" s="8">
        <f>S21+S10</f>
        <v>1.1121999999999999</v>
      </c>
    </row>
    <row r="25" spans="1:19" ht="14.45" customHeight="1" x14ac:dyDescent="0.25">
      <c r="A25" s="6">
        <v>46256</v>
      </c>
      <c r="B25" s="7" t="s">
        <v>390</v>
      </c>
      <c r="C25" s="7" t="s">
        <v>63</v>
      </c>
      <c r="D25" s="7" t="s">
        <v>974</v>
      </c>
      <c r="F25" s="37" t="s">
        <v>578</v>
      </c>
      <c r="G25" s="37"/>
      <c r="H25" s="37"/>
      <c r="I25" s="37"/>
      <c r="J25" s="37"/>
      <c r="K25" s="37"/>
      <c r="R25" s="2" t="s">
        <v>86</v>
      </c>
      <c r="S25" s="10">
        <f>S24*12.032</f>
        <v>13.381990399999998</v>
      </c>
    </row>
    <row r="26" spans="1:19" x14ac:dyDescent="0.25">
      <c r="A26" s="6">
        <v>46260</v>
      </c>
      <c r="B26" s="7" t="s">
        <v>993</v>
      </c>
      <c r="C26" s="7" t="s">
        <v>22</v>
      </c>
      <c r="D26" s="7" t="s">
        <v>994</v>
      </c>
      <c r="F26" s="37"/>
      <c r="G26" s="37"/>
      <c r="H26" s="37"/>
      <c r="I26" s="37"/>
      <c r="J26" s="37"/>
      <c r="K26" s="37"/>
    </row>
    <row r="27" spans="1:19" x14ac:dyDescent="0.25">
      <c r="A27" s="6">
        <v>46265</v>
      </c>
      <c r="B27" s="7" t="s">
        <v>339</v>
      </c>
      <c r="C27" s="7" t="s">
        <v>340</v>
      </c>
      <c r="D27" s="7" t="s">
        <v>27</v>
      </c>
      <c r="F27" s="37"/>
      <c r="G27" s="37"/>
      <c r="H27" s="37"/>
      <c r="I27" s="37"/>
      <c r="J27" s="37"/>
      <c r="K27" s="37"/>
    </row>
    <row r="28" spans="1:19" x14ac:dyDescent="0.25">
      <c r="A28" s="6">
        <v>46266</v>
      </c>
      <c r="B28" s="7" t="s">
        <v>339</v>
      </c>
      <c r="C28" s="7" t="s">
        <v>340</v>
      </c>
      <c r="D28" s="7" t="s">
        <v>887</v>
      </c>
      <c r="F28" s="37"/>
      <c r="G28" s="37"/>
      <c r="H28" s="37"/>
      <c r="I28" s="37"/>
      <c r="J28" s="37"/>
      <c r="K28" s="37"/>
    </row>
    <row r="29" spans="1:19" x14ac:dyDescent="0.25">
      <c r="A29" s="6">
        <v>46268</v>
      </c>
      <c r="B29" s="7" t="s">
        <v>1001</v>
      </c>
      <c r="C29" s="7" t="s">
        <v>22</v>
      </c>
      <c r="D29" s="7" t="s">
        <v>1069</v>
      </c>
      <c r="F29" s="2" t="s">
        <v>0</v>
      </c>
      <c r="G29" s="4">
        <v>46225</v>
      </c>
      <c r="H29" s="2" t="s">
        <v>2</v>
      </c>
      <c r="I29" s="1" t="s">
        <v>599</v>
      </c>
      <c r="J29" s="2" t="s">
        <v>11</v>
      </c>
      <c r="K29" s="1" t="s">
        <v>27</v>
      </c>
    </row>
    <row r="30" spans="1:19" x14ac:dyDescent="0.25">
      <c r="A30" s="6">
        <v>46272</v>
      </c>
      <c r="B30" s="7" t="s">
        <v>438</v>
      </c>
      <c r="C30" s="7" t="s">
        <v>439</v>
      </c>
      <c r="D30" s="7" t="s">
        <v>1029</v>
      </c>
      <c r="F30" s="32" t="s">
        <v>600</v>
      </c>
      <c r="G30" s="32"/>
      <c r="H30" s="32"/>
      <c r="I30" s="32"/>
      <c r="J30" s="32"/>
      <c r="K30" s="32"/>
    </row>
    <row r="31" spans="1:19" x14ac:dyDescent="0.25">
      <c r="A31" s="6">
        <v>46274</v>
      </c>
      <c r="B31" s="7" t="s">
        <v>1110</v>
      </c>
      <c r="C31" s="7" t="s">
        <v>22</v>
      </c>
      <c r="D31" s="7" t="s">
        <v>1092</v>
      </c>
      <c r="F31" s="32"/>
      <c r="G31" s="32"/>
      <c r="H31" s="32"/>
      <c r="I31" s="32"/>
      <c r="J31" s="32"/>
      <c r="K31" s="32"/>
    </row>
    <row r="32" spans="1:19" x14ac:dyDescent="0.25">
      <c r="A32" s="6">
        <v>46276</v>
      </c>
      <c r="B32" s="7" t="s">
        <v>1076</v>
      </c>
      <c r="C32" s="7" t="s">
        <v>31</v>
      </c>
      <c r="D32" s="7" t="s">
        <v>1136</v>
      </c>
      <c r="F32" s="2" t="s">
        <v>0</v>
      </c>
      <c r="G32" s="4">
        <v>46228</v>
      </c>
      <c r="H32" s="2" t="s">
        <v>2</v>
      </c>
      <c r="I32" s="1" t="s">
        <v>47</v>
      </c>
      <c r="J32" s="2" t="s">
        <v>11</v>
      </c>
      <c r="K32" s="1" t="s">
        <v>27</v>
      </c>
    </row>
    <row r="33" spans="1:11" x14ac:dyDescent="0.25">
      <c r="A33" s="6">
        <v>46283</v>
      </c>
      <c r="B33" s="7" t="s">
        <v>1001</v>
      </c>
      <c r="C33" s="7" t="s">
        <v>22</v>
      </c>
      <c r="D33" s="7" t="s">
        <v>1200</v>
      </c>
      <c r="F33" s="32" t="s">
        <v>649</v>
      </c>
      <c r="G33" s="32"/>
      <c r="H33" s="32"/>
      <c r="I33" s="32"/>
      <c r="J33" s="32"/>
      <c r="K33" s="32"/>
    </row>
    <row r="34" spans="1:11" x14ac:dyDescent="0.25">
      <c r="F34" s="32"/>
      <c r="G34" s="32"/>
      <c r="H34" s="32"/>
      <c r="I34" s="32"/>
      <c r="J34" s="32"/>
      <c r="K34" s="32"/>
    </row>
    <row r="35" spans="1:11" x14ac:dyDescent="0.25">
      <c r="F35" s="2" t="s">
        <v>0</v>
      </c>
      <c r="G35" s="4">
        <v>46231</v>
      </c>
      <c r="H35" s="2" t="s">
        <v>2</v>
      </c>
      <c r="I35" s="1" t="s">
        <v>22</v>
      </c>
      <c r="J35" s="2" t="s">
        <v>11</v>
      </c>
      <c r="K35" s="1" t="s">
        <v>14</v>
      </c>
    </row>
    <row r="36" spans="1:11" ht="14.45" customHeight="1" x14ac:dyDescent="0.25">
      <c r="F36" s="32" t="s">
        <v>680</v>
      </c>
      <c r="G36" s="32"/>
      <c r="H36" s="32"/>
      <c r="I36" s="32"/>
      <c r="J36" s="32"/>
      <c r="K36" s="32"/>
    </row>
    <row r="37" spans="1:11" x14ac:dyDescent="0.25">
      <c r="F37" s="32"/>
      <c r="G37" s="32"/>
      <c r="H37" s="32"/>
      <c r="I37" s="32"/>
      <c r="J37" s="32"/>
      <c r="K37" s="32"/>
    </row>
    <row r="38" spans="1:11" x14ac:dyDescent="0.25">
      <c r="F38" s="32"/>
      <c r="G38" s="32"/>
      <c r="H38" s="32"/>
      <c r="I38" s="32"/>
      <c r="J38" s="32"/>
      <c r="K38" s="32"/>
    </row>
    <row r="39" spans="1:11" x14ac:dyDescent="0.25">
      <c r="F39" s="32"/>
      <c r="G39" s="32"/>
      <c r="H39" s="32"/>
      <c r="I39" s="32"/>
      <c r="J39" s="32"/>
      <c r="K39" s="32"/>
    </row>
    <row r="40" spans="1:11" x14ac:dyDescent="0.25">
      <c r="F40" s="32"/>
      <c r="G40" s="32"/>
      <c r="H40" s="32"/>
      <c r="I40" s="32"/>
      <c r="J40" s="32"/>
      <c r="K40" s="32"/>
    </row>
    <row r="41" spans="1:11" x14ac:dyDescent="0.25">
      <c r="F41" s="32"/>
      <c r="G41" s="32"/>
      <c r="H41" s="32"/>
      <c r="I41" s="32"/>
      <c r="J41" s="32"/>
      <c r="K41" s="32"/>
    </row>
    <row r="42" spans="1:11" x14ac:dyDescent="0.25">
      <c r="F42" s="2" t="s">
        <v>0</v>
      </c>
      <c r="G42" s="4">
        <v>46240</v>
      </c>
      <c r="H42" s="2" t="s">
        <v>2</v>
      </c>
      <c r="I42" s="1" t="s">
        <v>47</v>
      </c>
      <c r="J42" s="2" t="s">
        <v>11</v>
      </c>
      <c r="K42" s="1" t="s">
        <v>27</v>
      </c>
    </row>
    <row r="43" spans="1:11" x14ac:dyDescent="0.25">
      <c r="F43" s="32" t="s">
        <v>813</v>
      </c>
      <c r="G43" s="32"/>
      <c r="H43" s="32"/>
      <c r="I43" s="32"/>
      <c r="J43" s="32"/>
      <c r="K43" s="32"/>
    </row>
    <row r="44" spans="1:11" x14ac:dyDescent="0.25">
      <c r="F44" s="32"/>
      <c r="G44" s="32"/>
      <c r="H44" s="32"/>
      <c r="I44" s="32"/>
      <c r="J44" s="32"/>
      <c r="K44" s="32"/>
    </row>
    <row r="45" spans="1:11" x14ac:dyDescent="0.25">
      <c r="F45" s="2" t="s">
        <v>0</v>
      </c>
      <c r="G45" s="4">
        <v>46244</v>
      </c>
      <c r="H45" s="2" t="s">
        <v>2</v>
      </c>
      <c r="I45" s="1" t="s">
        <v>47</v>
      </c>
      <c r="J45" s="2" t="s">
        <v>11</v>
      </c>
      <c r="K45" s="1" t="s">
        <v>27</v>
      </c>
    </row>
    <row r="46" spans="1:11" ht="14.45" customHeight="1" x14ac:dyDescent="0.25">
      <c r="F46" s="32" t="s">
        <v>844</v>
      </c>
      <c r="G46" s="32"/>
      <c r="H46" s="32"/>
      <c r="I46" s="32"/>
      <c r="J46" s="32"/>
      <c r="K46" s="32"/>
    </row>
    <row r="47" spans="1:11" x14ac:dyDescent="0.25">
      <c r="F47" s="32"/>
      <c r="G47" s="32"/>
      <c r="H47" s="32"/>
      <c r="I47" s="32"/>
      <c r="J47" s="32"/>
      <c r="K47" s="32"/>
    </row>
    <row r="48" spans="1:11" x14ac:dyDescent="0.25">
      <c r="F48" s="32"/>
      <c r="G48" s="32"/>
      <c r="H48" s="32"/>
      <c r="I48" s="32"/>
      <c r="J48" s="32"/>
      <c r="K48" s="32"/>
    </row>
    <row r="49" spans="6:11" x14ac:dyDescent="0.25">
      <c r="F49" s="2" t="s">
        <v>0</v>
      </c>
      <c r="G49" s="4">
        <v>46245</v>
      </c>
      <c r="H49" s="2" t="s">
        <v>2</v>
      </c>
      <c r="I49" s="1" t="s">
        <v>47</v>
      </c>
      <c r="J49" s="2" t="s">
        <v>11</v>
      </c>
      <c r="K49" s="1" t="s">
        <v>14</v>
      </c>
    </row>
    <row r="50" spans="6:11" ht="14.45" customHeight="1" x14ac:dyDescent="0.25">
      <c r="F50" s="32" t="s">
        <v>870</v>
      </c>
      <c r="G50" s="32"/>
      <c r="H50" s="32"/>
      <c r="I50" s="32"/>
      <c r="J50" s="32"/>
      <c r="K50" s="32"/>
    </row>
    <row r="51" spans="6:11" x14ac:dyDescent="0.25">
      <c r="F51" s="32"/>
      <c r="G51" s="32"/>
      <c r="H51" s="32"/>
      <c r="I51" s="32"/>
      <c r="J51" s="32"/>
      <c r="K51" s="32"/>
    </row>
    <row r="52" spans="6:11" x14ac:dyDescent="0.25">
      <c r="F52" s="32"/>
      <c r="G52" s="32"/>
      <c r="H52" s="32"/>
      <c r="I52" s="32"/>
      <c r="J52" s="32"/>
      <c r="K52" s="32"/>
    </row>
    <row r="53" spans="6:11" x14ac:dyDescent="0.25">
      <c r="F53" s="32"/>
      <c r="G53" s="32"/>
      <c r="H53" s="32"/>
      <c r="I53" s="32"/>
      <c r="J53" s="32"/>
      <c r="K53" s="32"/>
    </row>
    <row r="54" spans="6:11" x14ac:dyDescent="0.25">
      <c r="F54" s="32"/>
      <c r="G54" s="32"/>
      <c r="H54" s="32"/>
      <c r="I54" s="32"/>
      <c r="J54" s="32"/>
      <c r="K54" s="32"/>
    </row>
    <row r="55" spans="6:11" x14ac:dyDescent="0.25">
      <c r="F55" s="2" t="s">
        <v>0</v>
      </c>
      <c r="G55" s="4">
        <v>46247</v>
      </c>
      <c r="H55" s="2" t="s">
        <v>2</v>
      </c>
      <c r="I55" s="1" t="s">
        <v>47</v>
      </c>
      <c r="J55" s="2" t="s">
        <v>11</v>
      </c>
      <c r="K55" s="1" t="s">
        <v>887</v>
      </c>
    </row>
    <row r="56" spans="6:11" x14ac:dyDescent="0.25">
      <c r="F56" s="32" t="s">
        <v>886</v>
      </c>
      <c r="G56" s="32"/>
      <c r="H56" s="32"/>
      <c r="I56" s="32"/>
      <c r="J56" s="32"/>
      <c r="K56" s="32"/>
    </row>
    <row r="57" spans="6:11" x14ac:dyDescent="0.25">
      <c r="F57" s="32"/>
      <c r="G57" s="32"/>
      <c r="H57" s="32"/>
      <c r="I57" s="32"/>
      <c r="J57" s="32"/>
      <c r="K57" s="32"/>
    </row>
    <row r="58" spans="6:11" x14ac:dyDescent="0.25">
      <c r="F58" s="2" t="s">
        <v>0</v>
      </c>
      <c r="G58" s="4">
        <v>46253</v>
      </c>
      <c r="H58" s="2" t="s">
        <v>2</v>
      </c>
      <c r="I58" s="1" t="s">
        <v>47</v>
      </c>
      <c r="J58" s="2" t="s">
        <v>11</v>
      </c>
      <c r="K58" s="1" t="s">
        <v>27</v>
      </c>
    </row>
    <row r="59" spans="6:11" ht="14.45" customHeight="1" x14ac:dyDescent="0.25">
      <c r="F59" s="32" t="s">
        <v>929</v>
      </c>
      <c r="G59" s="32"/>
      <c r="H59" s="32"/>
      <c r="I59" s="32"/>
      <c r="J59" s="32"/>
      <c r="K59" s="32"/>
    </row>
    <row r="60" spans="6:11" x14ac:dyDescent="0.25">
      <c r="F60" s="32"/>
      <c r="G60" s="32"/>
      <c r="H60" s="32"/>
      <c r="I60" s="32"/>
      <c r="J60" s="32"/>
      <c r="K60" s="32"/>
    </row>
    <row r="61" spans="6:11" x14ac:dyDescent="0.25">
      <c r="F61" s="32"/>
      <c r="G61" s="32"/>
      <c r="H61" s="32"/>
      <c r="I61" s="32"/>
      <c r="J61" s="32"/>
      <c r="K61" s="32"/>
    </row>
    <row r="62" spans="6:11" x14ac:dyDescent="0.25">
      <c r="F62" s="32"/>
      <c r="G62" s="32"/>
      <c r="H62" s="32"/>
      <c r="I62" s="32"/>
      <c r="J62" s="32"/>
      <c r="K62" s="32"/>
    </row>
    <row r="63" spans="6:11" x14ac:dyDescent="0.25">
      <c r="F63" s="2" t="s">
        <v>0</v>
      </c>
      <c r="G63" s="4">
        <v>46258</v>
      </c>
      <c r="H63" s="2" t="s">
        <v>2</v>
      </c>
      <c r="I63" s="1" t="s">
        <v>350</v>
      </c>
      <c r="J63" s="2" t="s">
        <v>11</v>
      </c>
      <c r="K63" s="1" t="s">
        <v>14</v>
      </c>
    </row>
    <row r="64" spans="6:11" ht="14.45" customHeight="1" x14ac:dyDescent="0.25">
      <c r="F64" s="32" t="s">
        <v>979</v>
      </c>
      <c r="G64" s="32"/>
      <c r="H64" s="32"/>
      <c r="I64" s="32"/>
      <c r="J64" s="32"/>
      <c r="K64" s="32"/>
    </row>
    <row r="65" spans="6:11" x14ac:dyDescent="0.25">
      <c r="F65" s="32"/>
      <c r="G65" s="32"/>
      <c r="H65" s="32"/>
      <c r="I65" s="32"/>
      <c r="J65" s="32"/>
      <c r="K65" s="32"/>
    </row>
    <row r="66" spans="6:11" x14ac:dyDescent="0.25">
      <c r="F66" s="32"/>
      <c r="G66" s="32"/>
      <c r="H66" s="32"/>
      <c r="I66" s="32"/>
      <c r="J66" s="32"/>
      <c r="K66" s="32"/>
    </row>
    <row r="67" spans="6:11" x14ac:dyDescent="0.25">
      <c r="F67" s="32"/>
      <c r="G67" s="32"/>
      <c r="H67" s="32"/>
      <c r="I67" s="32"/>
      <c r="J67" s="32"/>
      <c r="K67" s="32"/>
    </row>
    <row r="68" spans="6:11" x14ac:dyDescent="0.25">
      <c r="F68" s="2" t="s">
        <v>0</v>
      </c>
      <c r="G68" s="4">
        <v>46260</v>
      </c>
      <c r="H68" s="2" t="s">
        <v>2</v>
      </c>
      <c r="I68" s="1" t="s">
        <v>22</v>
      </c>
      <c r="J68" s="2" t="s">
        <v>11</v>
      </c>
      <c r="K68" s="1" t="s">
        <v>14</v>
      </c>
    </row>
    <row r="69" spans="6:11" ht="14.45" customHeight="1" x14ac:dyDescent="0.25">
      <c r="F69" s="32" t="s">
        <v>996</v>
      </c>
      <c r="G69" s="32"/>
      <c r="H69" s="32"/>
      <c r="I69" s="32"/>
      <c r="J69" s="32"/>
      <c r="K69" s="32"/>
    </row>
    <row r="70" spans="6:11" x14ac:dyDescent="0.25">
      <c r="F70" s="32"/>
      <c r="G70" s="32"/>
      <c r="H70" s="32"/>
      <c r="I70" s="32"/>
      <c r="J70" s="32"/>
      <c r="K70" s="32"/>
    </row>
    <row r="71" spans="6:11" x14ac:dyDescent="0.25">
      <c r="F71" s="32"/>
      <c r="G71" s="32"/>
      <c r="H71" s="32"/>
      <c r="I71" s="32"/>
      <c r="J71" s="32"/>
      <c r="K71" s="32"/>
    </row>
    <row r="72" spans="6:11" x14ac:dyDescent="0.25">
      <c r="F72" s="32"/>
      <c r="G72" s="32"/>
      <c r="H72" s="32"/>
      <c r="I72" s="32"/>
      <c r="J72" s="32"/>
      <c r="K72" s="32"/>
    </row>
    <row r="73" spans="6:11" x14ac:dyDescent="0.25">
      <c r="F73" s="32"/>
      <c r="G73" s="32"/>
      <c r="H73" s="32"/>
      <c r="I73" s="32"/>
      <c r="J73" s="32"/>
      <c r="K73" s="32"/>
    </row>
    <row r="74" spans="6:11" x14ac:dyDescent="0.25">
      <c r="F74" s="32"/>
      <c r="G74" s="32"/>
      <c r="H74" s="32"/>
      <c r="I74" s="32"/>
      <c r="J74" s="32"/>
      <c r="K74" s="32"/>
    </row>
    <row r="75" spans="6:11" x14ac:dyDescent="0.25">
      <c r="F75" s="2" t="s">
        <v>0</v>
      </c>
      <c r="G75" s="4">
        <v>46265</v>
      </c>
      <c r="H75" s="2" t="s">
        <v>2</v>
      </c>
      <c r="I75" s="1" t="s">
        <v>22</v>
      </c>
      <c r="J75" s="2" t="s">
        <v>11</v>
      </c>
      <c r="K75" s="1" t="s">
        <v>14</v>
      </c>
    </row>
    <row r="76" spans="6:11" ht="14.45" customHeight="1" x14ac:dyDescent="0.25">
      <c r="F76" s="32" t="s">
        <v>1019</v>
      </c>
      <c r="G76" s="32"/>
      <c r="H76" s="32"/>
      <c r="I76" s="32"/>
      <c r="J76" s="32"/>
      <c r="K76" s="32"/>
    </row>
    <row r="77" spans="6:11" x14ac:dyDescent="0.25">
      <c r="F77" s="32"/>
      <c r="G77" s="32"/>
      <c r="H77" s="32"/>
      <c r="I77" s="32"/>
      <c r="J77" s="32"/>
      <c r="K77" s="32"/>
    </row>
    <row r="78" spans="6:11" x14ac:dyDescent="0.25">
      <c r="F78" s="32"/>
      <c r="G78" s="32"/>
      <c r="H78" s="32"/>
      <c r="I78" s="32"/>
      <c r="J78" s="32"/>
      <c r="K78" s="32"/>
    </row>
    <row r="79" spans="6:11" x14ac:dyDescent="0.25">
      <c r="F79" s="32"/>
      <c r="G79" s="32"/>
      <c r="H79" s="32"/>
      <c r="I79" s="32"/>
      <c r="J79" s="32"/>
      <c r="K79" s="32"/>
    </row>
    <row r="80" spans="6:11" x14ac:dyDescent="0.25">
      <c r="F80" s="32"/>
      <c r="G80" s="32"/>
      <c r="H80" s="32"/>
      <c r="I80" s="32"/>
      <c r="J80" s="32"/>
      <c r="K80" s="32"/>
    </row>
    <row r="81" spans="6:11" x14ac:dyDescent="0.25">
      <c r="F81" s="32"/>
      <c r="G81" s="32"/>
      <c r="H81" s="32"/>
      <c r="I81" s="32"/>
      <c r="J81" s="32"/>
      <c r="K81" s="32"/>
    </row>
    <row r="82" spans="6:11" x14ac:dyDescent="0.25">
      <c r="F82" s="32"/>
      <c r="G82" s="32"/>
      <c r="H82" s="32"/>
      <c r="I82" s="32"/>
      <c r="J82" s="32"/>
      <c r="K82" s="32"/>
    </row>
    <row r="83" spans="6:11" x14ac:dyDescent="0.25">
      <c r="F83" s="2" t="s">
        <v>0</v>
      </c>
      <c r="G83" s="4">
        <v>46265</v>
      </c>
      <c r="H83" s="2" t="s">
        <v>2</v>
      </c>
      <c r="I83" s="1" t="s">
        <v>35</v>
      </c>
      <c r="J83" s="2" t="s">
        <v>11</v>
      </c>
      <c r="K83" s="1" t="s">
        <v>14</v>
      </c>
    </row>
    <row r="84" spans="6:11" x14ac:dyDescent="0.25">
      <c r="F84" s="32" t="s">
        <v>1022</v>
      </c>
      <c r="G84" s="32"/>
      <c r="H84" s="32"/>
      <c r="I84" s="32"/>
      <c r="J84" s="32"/>
      <c r="K84" s="32"/>
    </row>
    <row r="85" spans="6:11" x14ac:dyDescent="0.25">
      <c r="F85" s="32"/>
      <c r="G85" s="32"/>
      <c r="H85" s="32"/>
      <c r="I85" s="32"/>
      <c r="J85" s="32"/>
      <c r="K85" s="32"/>
    </row>
    <row r="86" spans="6:11" x14ac:dyDescent="0.25">
      <c r="F86" s="32"/>
      <c r="G86" s="32"/>
      <c r="H86" s="32"/>
      <c r="I86" s="32"/>
      <c r="J86" s="32"/>
      <c r="K86" s="32"/>
    </row>
    <row r="87" spans="6:11" x14ac:dyDescent="0.25">
      <c r="F87" s="32"/>
      <c r="G87" s="32"/>
      <c r="H87" s="32"/>
      <c r="I87" s="32"/>
      <c r="J87" s="32"/>
      <c r="K87" s="32"/>
    </row>
    <row r="88" spans="6:11" x14ac:dyDescent="0.25">
      <c r="F88" s="32"/>
      <c r="G88" s="32"/>
      <c r="H88" s="32"/>
      <c r="I88" s="32"/>
      <c r="J88" s="32"/>
      <c r="K88" s="32"/>
    </row>
    <row r="89" spans="6:11" x14ac:dyDescent="0.25">
      <c r="F89" s="32"/>
      <c r="G89" s="32"/>
      <c r="H89" s="32"/>
      <c r="I89" s="32"/>
      <c r="J89" s="32"/>
      <c r="K89" s="32"/>
    </row>
    <row r="90" spans="6:11" x14ac:dyDescent="0.25">
      <c r="F90" s="32"/>
      <c r="G90" s="32"/>
      <c r="H90" s="32"/>
      <c r="I90" s="32"/>
      <c r="J90" s="32"/>
      <c r="K90" s="32"/>
    </row>
    <row r="91" spans="6:11" x14ac:dyDescent="0.25">
      <c r="F91" s="2" t="s">
        <v>0</v>
      </c>
      <c r="G91" s="4">
        <v>46268</v>
      </c>
      <c r="H91" s="2" t="s">
        <v>2</v>
      </c>
      <c r="I91" s="1" t="s">
        <v>22</v>
      </c>
      <c r="J91" s="2" t="s">
        <v>11</v>
      </c>
      <c r="K91" s="1" t="s">
        <v>14</v>
      </c>
    </row>
    <row r="92" spans="6:11" ht="14.45" customHeight="1" x14ac:dyDescent="0.25">
      <c r="F92" s="32" t="s">
        <v>1070</v>
      </c>
      <c r="G92" s="32"/>
      <c r="H92" s="32"/>
      <c r="I92" s="32"/>
      <c r="J92" s="32"/>
      <c r="K92" s="32"/>
    </row>
    <row r="93" spans="6:11" x14ac:dyDescent="0.25">
      <c r="F93" s="32"/>
      <c r="G93" s="32"/>
      <c r="H93" s="32"/>
      <c r="I93" s="32"/>
      <c r="J93" s="32"/>
      <c r="K93" s="32"/>
    </row>
    <row r="94" spans="6:11" x14ac:dyDescent="0.25">
      <c r="F94" s="32"/>
      <c r="G94" s="32"/>
      <c r="H94" s="32"/>
      <c r="I94" s="32"/>
      <c r="J94" s="32"/>
      <c r="K94" s="32"/>
    </row>
    <row r="95" spans="6:11" x14ac:dyDescent="0.25">
      <c r="F95" s="32"/>
      <c r="G95" s="32"/>
      <c r="H95" s="32"/>
      <c r="I95" s="32"/>
      <c r="J95" s="32"/>
      <c r="K95" s="32"/>
    </row>
    <row r="96" spans="6:11" x14ac:dyDescent="0.25">
      <c r="F96" s="32"/>
      <c r="G96" s="32"/>
      <c r="H96" s="32"/>
      <c r="I96" s="32"/>
      <c r="J96" s="32"/>
      <c r="K96" s="32"/>
    </row>
    <row r="97" spans="6:11" x14ac:dyDescent="0.25">
      <c r="F97" s="32"/>
      <c r="G97" s="32"/>
      <c r="H97" s="32"/>
      <c r="I97" s="32"/>
      <c r="J97" s="32"/>
      <c r="K97" s="32"/>
    </row>
    <row r="98" spans="6:11" x14ac:dyDescent="0.25">
      <c r="F98" s="32"/>
      <c r="G98" s="32"/>
      <c r="H98" s="32"/>
      <c r="I98" s="32"/>
      <c r="J98" s="32"/>
      <c r="K98" s="32"/>
    </row>
    <row r="99" spans="6:11" x14ac:dyDescent="0.25">
      <c r="F99" s="32"/>
      <c r="G99" s="32"/>
      <c r="H99" s="32"/>
      <c r="I99" s="32"/>
      <c r="J99" s="32"/>
      <c r="K99" s="32"/>
    </row>
    <row r="100" spans="6:11" x14ac:dyDescent="0.25">
      <c r="F100" s="32"/>
      <c r="G100" s="32"/>
      <c r="H100" s="32"/>
      <c r="I100" s="32"/>
      <c r="J100" s="32"/>
      <c r="K100" s="32"/>
    </row>
    <row r="101" spans="6:11" x14ac:dyDescent="0.25">
      <c r="F101" s="2" t="s">
        <v>0</v>
      </c>
      <c r="G101" s="4">
        <v>46274</v>
      </c>
      <c r="H101" s="2" t="s">
        <v>2</v>
      </c>
      <c r="I101" s="1" t="s">
        <v>22</v>
      </c>
      <c r="J101" s="2" t="s">
        <v>11</v>
      </c>
      <c r="K101" s="1" t="s">
        <v>27</v>
      </c>
    </row>
    <row r="102" spans="6:11" ht="14.45" customHeight="1" x14ac:dyDescent="0.25">
      <c r="F102" s="32" t="s">
        <v>1111</v>
      </c>
      <c r="G102" s="32"/>
      <c r="H102" s="32"/>
      <c r="I102" s="32"/>
      <c r="J102" s="32"/>
      <c r="K102" s="32"/>
    </row>
    <row r="103" spans="6:11" x14ac:dyDescent="0.25">
      <c r="F103" s="32"/>
      <c r="G103" s="32"/>
      <c r="H103" s="32"/>
      <c r="I103" s="32"/>
      <c r="J103" s="32"/>
      <c r="K103" s="32"/>
    </row>
    <row r="104" spans="6:11" x14ac:dyDescent="0.25">
      <c r="F104" s="32"/>
      <c r="G104" s="32"/>
      <c r="H104" s="32"/>
      <c r="I104" s="32"/>
      <c r="J104" s="32"/>
      <c r="K104" s="32"/>
    </row>
    <row r="105" spans="6:11" x14ac:dyDescent="0.25">
      <c r="F105" s="32"/>
      <c r="G105" s="32"/>
      <c r="H105" s="32"/>
      <c r="I105" s="32"/>
      <c r="J105" s="32"/>
      <c r="K105" s="32"/>
    </row>
    <row r="106" spans="6:11" x14ac:dyDescent="0.25">
      <c r="F106" s="32"/>
      <c r="G106" s="32"/>
      <c r="H106" s="32"/>
      <c r="I106" s="32"/>
      <c r="J106" s="32"/>
      <c r="K106" s="32"/>
    </row>
    <row r="107" spans="6:11" x14ac:dyDescent="0.25">
      <c r="F107" s="32"/>
      <c r="G107" s="32"/>
      <c r="H107" s="32"/>
      <c r="I107" s="32"/>
      <c r="J107" s="32"/>
      <c r="K107" s="32"/>
    </row>
    <row r="108" spans="6:11" x14ac:dyDescent="0.25">
      <c r="F108" s="2" t="s">
        <v>0</v>
      </c>
      <c r="G108" s="4">
        <v>46283</v>
      </c>
      <c r="H108" s="2" t="s">
        <v>2</v>
      </c>
      <c r="I108" s="1" t="s">
        <v>22</v>
      </c>
      <c r="J108" s="2" t="s">
        <v>11</v>
      </c>
      <c r="K108" s="1" t="s">
        <v>27</v>
      </c>
    </row>
    <row r="109" spans="6:11" ht="14.45" customHeight="1" x14ac:dyDescent="0.25">
      <c r="F109" s="32" t="s">
        <v>1199</v>
      </c>
      <c r="G109" s="32"/>
      <c r="H109" s="32"/>
      <c r="I109" s="32"/>
      <c r="J109" s="32"/>
      <c r="K109" s="32"/>
    </row>
    <row r="110" spans="6:11" x14ac:dyDescent="0.25">
      <c r="F110" s="32"/>
      <c r="G110" s="32"/>
      <c r="H110" s="32"/>
      <c r="I110" s="32"/>
      <c r="J110" s="32"/>
      <c r="K110" s="32"/>
    </row>
    <row r="111" spans="6:11" x14ac:dyDescent="0.25">
      <c r="F111" s="32"/>
      <c r="G111" s="32"/>
      <c r="H111" s="32"/>
      <c r="I111" s="32"/>
      <c r="J111" s="32"/>
      <c r="K111" s="32"/>
    </row>
  </sheetData>
  <mergeCells count="26">
    <mergeCell ref="F9:K10"/>
    <mergeCell ref="F36:K41"/>
    <mergeCell ref="F33:K34"/>
    <mergeCell ref="F30:K31"/>
    <mergeCell ref="U1:V1"/>
    <mergeCell ref="R1:S1"/>
    <mergeCell ref="F3:K4"/>
    <mergeCell ref="F6:K7"/>
    <mergeCell ref="F1:K1"/>
    <mergeCell ref="M1:P1"/>
    <mergeCell ref="F109:K111"/>
    <mergeCell ref="F12:K13"/>
    <mergeCell ref="F64:K67"/>
    <mergeCell ref="F59:K62"/>
    <mergeCell ref="F56:K57"/>
    <mergeCell ref="F25:K28"/>
    <mergeCell ref="F15:K18"/>
    <mergeCell ref="F20:K23"/>
    <mergeCell ref="F46:K48"/>
    <mergeCell ref="F43:K44"/>
    <mergeCell ref="F92:K100"/>
    <mergeCell ref="F102:K107"/>
    <mergeCell ref="F50:K54"/>
    <mergeCell ref="F76:K82"/>
    <mergeCell ref="F84:K90"/>
    <mergeCell ref="F69:K7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9D207-B259-4394-A004-F7C58BD48F27}">
  <dimension ref="A1:X52"/>
  <sheetViews>
    <sheetView topLeftCell="A27" workbookViewId="0">
      <selection activeCell="I49" sqref="I49"/>
    </sheetView>
  </sheetViews>
  <sheetFormatPr baseColWidth="10" defaultRowHeight="15" x14ac:dyDescent="0.25"/>
  <cols>
    <col min="1" max="1" width="11.5703125" style="7"/>
    <col min="2" max="2" width="14.7109375" style="7" bestFit="1" customWidth="1"/>
    <col min="3" max="3" width="11.5703125" style="7"/>
    <col min="4" max="4" width="23.140625" style="7" bestFit="1" customWidth="1"/>
    <col min="13" max="13" width="12.42578125" bestFit="1" customWidth="1"/>
    <col min="14" max="14" width="13.28515625" bestFit="1" customWidth="1"/>
    <col min="20" max="20" width="21.28515625" bestFit="1" customWidth="1"/>
    <col min="21" max="21" width="16.7109375" bestFit="1" customWidth="1"/>
    <col min="23" max="23" width="11.5703125" style="7"/>
    <col min="24" max="24" width="15" style="7" bestFit="1" customWidth="1"/>
  </cols>
  <sheetData>
    <row r="1" spans="1:24" x14ac:dyDescent="0.25">
      <c r="A1" s="3" t="s">
        <v>0</v>
      </c>
      <c r="B1" s="3" t="s">
        <v>1</v>
      </c>
      <c r="C1" s="3" t="s">
        <v>2</v>
      </c>
      <c r="D1" s="3" t="s">
        <v>3</v>
      </c>
      <c r="F1" s="36" t="s">
        <v>4</v>
      </c>
      <c r="G1" s="36"/>
      <c r="H1" s="36"/>
      <c r="I1" s="36"/>
      <c r="J1" s="36"/>
      <c r="K1" s="36"/>
      <c r="M1" s="36" t="s">
        <v>5</v>
      </c>
      <c r="N1" s="36"/>
      <c r="O1" s="36"/>
      <c r="P1" s="36"/>
      <c r="Q1" s="36"/>
      <c r="R1" s="36"/>
      <c r="T1" s="34" t="s">
        <v>7</v>
      </c>
      <c r="U1" s="35"/>
      <c r="W1" s="33" t="s">
        <v>87</v>
      </c>
      <c r="X1" s="33"/>
    </row>
    <row r="2" spans="1:24" x14ac:dyDescent="0.25">
      <c r="A2" s="6">
        <v>46204</v>
      </c>
      <c r="B2" s="7" t="s">
        <v>339</v>
      </c>
      <c r="C2" s="7" t="s">
        <v>340</v>
      </c>
      <c r="D2" s="7" t="s">
        <v>56</v>
      </c>
      <c r="F2" s="2" t="s">
        <v>0</v>
      </c>
      <c r="G2" s="4">
        <v>46204</v>
      </c>
      <c r="H2" s="2" t="s">
        <v>2</v>
      </c>
      <c r="I2" s="1" t="s">
        <v>22</v>
      </c>
      <c r="J2" s="2" t="s">
        <v>11</v>
      </c>
      <c r="K2" s="1" t="s">
        <v>14</v>
      </c>
      <c r="M2" s="16" t="s">
        <v>0</v>
      </c>
      <c r="N2" s="17">
        <v>2024</v>
      </c>
      <c r="O2" s="16" t="s">
        <v>6</v>
      </c>
      <c r="P2" s="18" t="s">
        <v>282</v>
      </c>
      <c r="Q2" s="11" t="s">
        <v>11</v>
      </c>
      <c r="R2" s="8" t="s">
        <v>14</v>
      </c>
      <c r="T2" s="2" t="s">
        <v>11</v>
      </c>
      <c r="U2" s="8" t="s">
        <v>128</v>
      </c>
      <c r="W2" s="3" t="s">
        <v>0</v>
      </c>
      <c r="X2" s="3" t="s">
        <v>88</v>
      </c>
    </row>
    <row r="3" spans="1:24" x14ac:dyDescent="0.25">
      <c r="A3" s="6">
        <v>46224</v>
      </c>
      <c r="B3" s="7" t="s">
        <v>339</v>
      </c>
      <c r="C3" s="7" t="s">
        <v>340</v>
      </c>
      <c r="D3" s="7" t="s">
        <v>56</v>
      </c>
      <c r="F3" s="37" t="s">
        <v>368</v>
      </c>
      <c r="G3" s="37"/>
      <c r="H3" s="37"/>
      <c r="I3" s="37"/>
      <c r="J3" s="37"/>
      <c r="K3" s="37"/>
      <c r="M3" s="15" t="s">
        <v>283</v>
      </c>
      <c r="N3" s="3" t="s">
        <v>312</v>
      </c>
      <c r="O3" s="3" t="s">
        <v>313</v>
      </c>
      <c r="T3" s="2" t="s">
        <v>76</v>
      </c>
      <c r="U3" s="8" t="s">
        <v>129</v>
      </c>
    </row>
    <row r="4" spans="1:24" x14ac:dyDescent="0.25">
      <c r="A4" s="6">
        <v>46225</v>
      </c>
      <c r="B4" s="7" t="s">
        <v>339</v>
      </c>
      <c r="C4" s="7" t="s">
        <v>340</v>
      </c>
      <c r="D4" s="7" t="s">
        <v>56</v>
      </c>
      <c r="F4" s="37"/>
      <c r="G4" s="37"/>
      <c r="H4" s="37"/>
      <c r="I4" s="37"/>
      <c r="J4" s="37"/>
      <c r="K4" s="37"/>
      <c r="M4" s="15" t="s">
        <v>284</v>
      </c>
      <c r="N4" s="12" t="s">
        <v>314</v>
      </c>
      <c r="O4" s="12" t="s">
        <v>314</v>
      </c>
      <c r="T4" s="2" t="s">
        <v>77</v>
      </c>
      <c r="U4" s="8"/>
    </row>
    <row r="5" spans="1:24" x14ac:dyDescent="0.25">
      <c r="A5" s="6">
        <v>46226</v>
      </c>
      <c r="B5" s="7" t="s">
        <v>30</v>
      </c>
      <c r="C5" s="7" t="s">
        <v>31</v>
      </c>
      <c r="D5" s="7" t="s">
        <v>595</v>
      </c>
      <c r="F5" s="2" t="s">
        <v>0</v>
      </c>
      <c r="G5" s="4">
        <v>46206</v>
      </c>
      <c r="H5" s="2" t="s">
        <v>2</v>
      </c>
      <c r="I5" s="1" t="s">
        <v>47</v>
      </c>
      <c r="J5" s="2" t="s">
        <v>11</v>
      </c>
      <c r="K5" s="1" t="s">
        <v>14</v>
      </c>
      <c r="M5" s="11" t="s">
        <v>285</v>
      </c>
      <c r="N5" s="13">
        <v>1.22</v>
      </c>
      <c r="O5" s="13">
        <v>1.32</v>
      </c>
      <c r="T5" s="2" t="s">
        <v>78</v>
      </c>
      <c r="U5" s="8" t="s">
        <v>101</v>
      </c>
    </row>
    <row r="6" spans="1:24" x14ac:dyDescent="0.25">
      <c r="A6" s="6">
        <v>46231</v>
      </c>
      <c r="B6" s="7" t="s">
        <v>30</v>
      </c>
      <c r="C6" s="7" t="s">
        <v>31</v>
      </c>
      <c r="D6" s="7" t="s">
        <v>538</v>
      </c>
      <c r="F6" s="37" t="s">
        <v>397</v>
      </c>
      <c r="G6" s="37"/>
      <c r="H6" s="37"/>
      <c r="I6" s="37"/>
      <c r="J6" s="37"/>
      <c r="K6" s="37"/>
      <c r="M6" s="11" t="s">
        <v>286</v>
      </c>
      <c r="N6" s="14">
        <v>8.1</v>
      </c>
      <c r="O6" s="14">
        <v>8.1999999999999993</v>
      </c>
      <c r="T6" s="2" t="s">
        <v>92</v>
      </c>
      <c r="U6" s="8" t="s">
        <v>130</v>
      </c>
    </row>
    <row r="7" spans="1:24" x14ac:dyDescent="0.25">
      <c r="A7" s="6">
        <v>46241</v>
      </c>
      <c r="B7" s="7" t="s">
        <v>465</v>
      </c>
      <c r="C7" s="7" t="s">
        <v>31</v>
      </c>
      <c r="D7" s="7" t="s">
        <v>45</v>
      </c>
      <c r="F7" s="37"/>
      <c r="G7" s="37"/>
      <c r="H7" s="37"/>
      <c r="I7" s="37"/>
      <c r="J7" s="37"/>
      <c r="K7" s="37"/>
      <c r="M7" s="11" t="s">
        <v>287</v>
      </c>
      <c r="N7" s="1">
        <v>0.19</v>
      </c>
      <c r="O7" s="1">
        <v>0.19</v>
      </c>
      <c r="T7" s="2" t="s">
        <v>80</v>
      </c>
      <c r="U7" s="8" t="s">
        <v>126</v>
      </c>
    </row>
    <row r="8" spans="1:24" x14ac:dyDescent="0.25">
      <c r="A8" s="6">
        <v>46242</v>
      </c>
      <c r="B8" s="7" t="s">
        <v>820</v>
      </c>
      <c r="C8" s="7" t="s">
        <v>63</v>
      </c>
      <c r="D8" s="7" t="s">
        <v>821</v>
      </c>
      <c r="F8" s="2" t="s">
        <v>0</v>
      </c>
      <c r="G8" s="4">
        <v>46219</v>
      </c>
      <c r="H8" s="2" t="s">
        <v>2</v>
      </c>
      <c r="I8" s="1" t="s">
        <v>47</v>
      </c>
      <c r="J8" s="2" t="s">
        <v>11</v>
      </c>
      <c r="K8" s="1" t="s">
        <v>14</v>
      </c>
      <c r="M8" s="11" t="s">
        <v>288</v>
      </c>
      <c r="N8" s="1">
        <v>1.22</v>
      </c>
      <c r="O8" s="1">
        <v>1.04</v>
      </c>
      <c r="T8" s="2" t="s">
        <v>81</v>
      </c>
      <c r="U8" s="8" t="s">
        <v>93</v>
      </c>
    </row>
    <row r="9" spans="1:24" x14ac:dyDescent="0.25">
      <c r="A9" s="6">
        <v>46244</v>
      </c>
      <c r="B9" s="7" t="s">
        <v>465</v>
      </c>
      <c r="C9" s="7" t="s">
        <v>31</v>
      </c>
      <c r="D9" s="7" t="s">
        <v>416</v>
      </c>
      <c r="F9" s="37" t="s">
        <v>555</v>
      </c>
      <c r="G9" s="37"/>
      <c r="H9" s="37"/>
      <c r="I9" s="37"/>
      <c r="J9" s="37"/>
      <c r="K9" s="37"/>
      <c r="M9" s="11" t="s">
        <v>289</v>
      </c>
      <c r="N9" s="13">
        <v>2.1</v>
      </c>
      <c r="O9" s="13">
        <v>1.8</v>
      </c>
      <c r="T9" s="2" t="s">
        <v>82</v>
      </c>
      <c r="U9" s="8">
        <f>U10+U11</f>
        <v>1.0769</v>
      </c>
    </row>
    <row r="10" spans="1:24" x14ac:dyDescent="0.25">
      <c r="A10" s="6">
        <v>46245</v>
      </c>
      <c r="B10" s="7" t="s">
        <v>339</v>
      </c>
      <c r="C10" s="7" t="s">
        <v>340</v>
      </c>
      <c r="D10" s="7" t="s">
        <v>56</v>
      </c>
      <c r="F10" s="37"/>
      <c r="G10" s="37"/>
      <c r="H10" s="37"/>
      <c r="I10" s="37"/>
      <c r="J10" s="37"/>
      <c r="K10" s="37"/>
      <c r="M10" s="11" t="s">
        <v>290</v>
      </c>
      <c r="N10" s="13">
        <v>24</v>
      </c>
      <c r="O10" s="13">
        <v>26</v>
      </c>
      <c r="T10" s="2" t="s">
        <v>83</v>
      </c>
      <c r="U10" s="8">
        <v>1.0745</v>
      </c>
    </row>
    <row r="11" spans="1:24" x14ac:dyDescent="0.25">
      <c r="A11" s="6">
        <v>46254</v>
      </c>
      <c r="B11" s="7" t="s">
        <v>438</v>
      </c>
      <c r="C11" s="7" t="s">
        <v>344</v>
      </c>
      <c r="D11" s="7" t="s">
        <v>1029</v>
      </c>
      <c r="F11" s="2" t="s">
        <v>0</v>
      </c>
      <c r="G11" s="4">
        <v>46225</v>
      </c>
      <c r="H11" s="2" t="s">
        <v>2</v>
      </c>
      <c r="I11" s="1" t="s">
        <v>350</v>
      </c>
      <c r="J11" s="2" t="s">
        <v>11</v>
      </c>
      <c r="K11" s="1" t="s">
        <v>14</v>
      </c>
      <c r="M11" s="11" t="s">
        <v>291</v>
      </c>
      <c r="N11" s="1">
        <v>5</v>
      </c>
      <c r="O11" s="1">
        <v>5</v>
      </c>
      <c r="T11" s="2" t="s">
        <v>84</v>
      </c>
      <c r="U11" s="10">
        <v>2.3999999999999998E-3</v>
      </c>
    </row>
    <row r="12" spans="1:24" ht="14.45" customHeight="1" x14ac:dyDescent="0.25">
      <c r="A12" s="6">
        <v>46260</v>
      </c>
      <c r="B12" s="7" t="s">
        <v>987</v>
      </c>
      <c r="C12" s="7" t="s">
        <v>31</v>
      </c>
      <c r="D12" s="7" t="s">
        <v>1005</v>
      </c>
      <c r="F12" s="37" t="s">
        <v>598</v>
      </c>
      <c r="G12" s="37"/>
      <c r="H12" s="37"/>
      <c r="I12" s="37"/>
      <c r="J12" s="37"/>
      <c r="K12" s="37"/>
      <c r="M12" s="11" t="s">
        <v>292</v>
      </c>
      <c r="N12" s="13">
        <v>0.17</v>
      </c>
      <c r="O12" s="13">
        <v>0.13</v>
      </c>
      <c r="T12" s="2" t="s">
        <v>115</v>
      </c>
      <c r="U12" s="8"/>
    </row>
    <row r="13" spans="1:24" x14ac:dyDescent="0.25">
      <c r="A13" s="6">
        <v>46261</v>
      </c>
      <c r="B13" s="7" t="s">
        <v>1001</v>
      </c>
      <c r="C13" s="7" t="s">
        <v>22</v>
      </c>
      <c r="D13" s="7" t="s">
        <v>1003</v>
      </c>
      <c r="F13" s="37"/>
      <c r="G13" s="37"/>
      <c r="H13" s="37"/>
      <c r="I13" s="37"/>
      <c r="J13" s="37"/>
      <c r="K13" s="37"/>
      <c r="M13" s="11" t="s">
        <v>293</v>
      </c>
      <c r="N13" s="14">
        <v>27</v>
      </c>
      <c r="O13" s="14">
        <v>19</v>
      </c>
      <c r="T13" s="2" t="s">
        <v>85</v>
      </c>
      <c r="U13" s="8">
        <f>U10</f>
        <v>1.0745</v>
      </c>
    </row>
    <row r="14" spans="1:24" x14ac:dyDescent="0.25">
      <c r="A14" s="6">
        <v>46276</v>
      </c>
      <c r="B14" s="7" t="s">
        <v>1076</v>
      </c>
      <c r="C14" s="7" t="s">
        <v>31</v>
      </c>
      <c r="D14" s="7" t="s">
        <v>1136</v>
      </c>
      <c r="F14" s="37"/>
      <c r="G14" s="37"/>
      <c r="H14" s="37"/>
      <c r="I14" s="37"/>
      <c r="J14" s="37"/>
      <c r="K14" s="37"/>
      <c r="M14" s="11" t="s">
        <v>294</v>
      </c>
      <c r="N14" s="1">
        <v>9.1300000000000008</v>
      </c>
      <c r="O14" s="1">
        <v>6.53</v>
      </c>
      <c r="T14" s="2" t="s">
        <v>86</v>
      </c>
      <c r="U14" s="10">
        <f>U13*12.032</f>
        <v>12.928383999999999</v>
      </c>
    </row>
    <row r="15" spans="1:24" ht="14.45" customHeight="1" x14ac:dyDescent="0.25">
      <c r="F15" s="37"/>
      <c r="G15" s="37"/>
      <c r="H15" s="37"/>
      <c r="I15" s="37"/>
      <c r="J15" s="37"/>
      <c r="K15" s="37"/>
      <c r="M15" s="11" t="s">
        <v>295</v>
      </c>
      <c r="N15" s="1">
        <v>176</v>
      </c>
      <c r="O15" s="1">
        <v>135</v>
      </c>
    </row>
    <row r="16" spans="1:24" x14ac:dyDescent="0.25">
      <c r="F16" s="2" t="s">
        <v>0</v>
      </c>
      <c r="G16" s="28">
        <v>46242</v>
      </c>
      <c r="H16" s="2" t="s">
        <v>2</v>
      </c>
      <c r="I16" s="1" t="s">
        <v>47</v>
      </c>
      <c r="J16" s="2" t="s">
        <v>11</v>
      </c>
      <c r="K16" s="1" t="s">
        <v>14</v>
      </c>
      <c r="M16" s="11" t="s">
        <v>296</v>
      </c>
      <c r="N16" s="1">
        <v>6228</v>
      </c>
      <c r="O16" s="1">
        <v>6113</v>
      </c>
    </row>
    <row r="17" spans="6:15" x14ac:dyDescent="0.25">
      <c r="F17" s="32" t="s">
        <v>822</v>
      </c>
      <c r="G17" s="32"/>
      <c r="H17" s="32"/>
      <c r="I17" s="32"/>
      <c r="J17" s="32"/>
      <c r="K17" s="32"/>
      <c r="M17" s="11" t="s">
        <v>297</v>
      </c>
      <c r="N17" s="1">
        <v>217</v>
      </c>
      <c r="O17" s="1">
        <v>235</v>
      </c>
    </row>
    <row r="18" spans="6:15" x14ac:dyDescent="0.25">
      <c r="F18" s="32"/>
      <c r="G18" s="32"/>
      <c r="H18" s="32"/>
      <c r="I18" s="32"/>
      <c r="J18" s="32"/>
      <c r="K18" s="32"/>
      <c r="M18" s="11" t="s">
        <v>298</v>
      </c>
      <c r="N18" s="1">
        <v>37</v>
      </c>
      <c r="O18" s="1">
        <v>38</v>
      </c>
    </row>
    <row r="19" spans="6:15" x14ac:dyDescent="0.25">
      <c r="F19" s="32"/>
      <c r="G19" s="32"/>
      <c r="H19" s="32"/>
      <c r="I19" s="32"/>
      <c r="J19" s="32"/>
      <c r="K19" s="32"/>
      <c r="M19" s="11" t="s">
        <v>299</v>
      </c>
      <c r="N19" s="7" t="s">
        <v>56</v>
      </c>
      <c r="O19" s="1">
        <v>0.73</v>
      </c>
    </row>
    <row r="20" spans="6:15" x14ac:dyDescent="0.25">
      <c r="F20" s="32"/>
      <c r="G20" s="32"/>
      <c r="H20" s="32"/>
      <c r="I20" s="32"/>
      <c r="J20" s="32"/>
      <c r="K20" s="32"/>
      <c r="M20" s="11" t="s">
        <v>300</v>
      </c>
      <c r="N20" s="7" t="s">
        <v>56</v>
      </c>
      <c r="O20" s="1">
        <v>187</v>
      </c>
    </row>
    <row r="21" spans="6:15" x14ac:dyDescent="0.25">
      <c r="F21" s="2" t="s">
        <v>0</v>
      </c>
      <c r="G21" s="4">
        <v>46244</v>
      </c>
      <c r="H21" s="2" t="s">
        <v>2</v>
      </c>
      <c r="I21" s="1" t="s">
        <v>22</v>
      </c>
      <c r="J21" s="2" t="s">
        <v>11</v>
      </c>
      <c r="K21" s="1" t="s">
        <v>14</v>
      </c>
      <c r="M21" s="11" t="s">
        <v>301</v>
      </c>
      <c r="N21" s="7" t="s">
        <v>56</v>
      </c>
      <c r="O21" s="1">
        <v>4</v>
      </c>
    </row>
    <row r="22" spans="6:15" x14ac:dyDescent="0.25">
      <c r="F22" s="37" t="s">
        <v>847</v>
      </c>
      <c r="G22" s="37"/>
      <c r="H22" s="37"/>
      <c r="I22" s="37"/>
      <c r="J22" s="37"/>
      <c r="K22" s="37"/>
      <c r="M22" s="11" t="s">
        <v>302</v>
      </c>
      <c r="N22" s="7" t="s">
        <v>56</v>
      </c>
      <c r="O22" s="1">
        <v>123</v>
      </c>
    </row>
    <row r="23" spans="6:15" x14ac:dyDescent="0.25">
      <c r="F23" s="37"/>
      <c r="G23" s="37"/>
      <c r="H23" s="37"/>
      <c r="I23" s="37"/>
      <c r="J23" s="37"/>
      <c r="K23" s="37"/>
      <c r="M23" s="11" t="s">
        <v>303</v>
      </c>
      <c r="N23" s="7" t="s">
        <v>56</v>
      </c>
      <c r="O23" s="1">
        <v>17</v>
      </c>
    </row>
    <row r="24" spans="6:15" x14ac:dyDescent="0.25">
      <c r="F24" s="2" t="s">
        <v>0</v>
      </c>
      <c r="G24" s="4">
        <v>46245</v>
      </c>
      <c r="H24" s="2" t="s">
        <v>2</v>
      </c>
      <c r="I24" s="1" t="s">
        <v>47</v>
      </c>
      <c r="J24" s="2" t="s">
        <v>11</v>
      </c>
      <c r="K24" s="1" t="s">
        <v>14</v>
      </c>
      <c r="M24" s="11" t="s">
        <v>304</v>
      </c>
      <c r="N24" s="7" t="s">
        <v>56</v>
      </c>
      <c r="O24" s="13">
        <v>0.1</v>
      </c>
    </row>
    <row r="25" spans="6:15" x14ac:dyDescent="0.25">
      <c r="F25" s="32" t="s">
        <v>868</v>
      </c>
      <c r="G25" s="32"/>
      <c r="H25" s="32"/>
      <c r="I25" s="32"/>
      <c r="J25" s="32"/>
      <c r="K25" s="32"/>
      <c r="M25" s="11" t="s">
        <v>305</v>
      </c>
      <c r="N25" s="1">
        <v>7.1</v>
      </c>
      <c r="O25" s="1">
        <v>8.01</v>
      </c>
    </row>
    <row r="26" spans="6:15" x14ac:dyDescent="0.25">
      <c r="F26" s="32"/>
      <c r="G26" s="32"/>
      <c r="H26" s="32"/>
      <c r="I26" s="32"/>
      <c r="J26" s="32"/>
      <c r="K26" s="32"/>
      <c r="M26" s="11" t="s">
        <v>306</v>
      </c>
      <c r="N26" s="14">
        <v>28.7</v>
      </c>
      <c r="O26" s="14">
        <v>26</v>
      </c>
    </row>
    <row r="27" spans="6:15" x14ac:dyDescent="0.25">
      <c r="F27" s="2" t="s">
        <v>0</v>
      </c>
      <c r="G27" s="4">
        <v>46253</v>
      </c>
      <c r="H27" s="2" t="s">
        <v>2</v>
      </c>
      <c r="I27" s="1" t="s">
        <v>47</v>
      </c>
      <c r="J27" s="2" t="s">
        <v>11</v>
      </c>
      <c r="K27" s="1" t="s">
        <v>14</v>
      </c>
      <c r="M27" s="11" t="s">
        <v>307</v>
      </c>
      <c r="N27" s="1">
        <v>1.2</v>
      </c>
      <c r="O27" s="1">
        <v>1.7</v>
      </c>
    </row>
    <row r="28" spans="6:15" ht="14.45" customHeight="1" x14ac:dyDescent="0.25">
      <c r="F28" s="32" t="s">
        <v>928</v>
      </c>
      <c r="G28" s="32"/>
      <c r="H28" s="32"/>
      <c r="I28" s="32"/>
      <c r="J28" s="32"/>
      <c r="K28" s="32"/>
      <c r="M28" s="11" t="s">
        <v>308</v>
      </c>
      <c r="N28" s="1">
        <v>35.4</v>
      </c>
      <c r="O28" s="1">
        <v>45.3</v>
      </c>
    </row>
    <row r="29" spans="6:15" x14ac:dyDescent="0.25">
      <c r="F29" s="32"/>
      <c r="G29" s="32"/>
      <c r="H29" s="32"/>
      <c r="I29" s="32"/>
      <c r="J29" s="32"/>
      <c r="K29" s="32"/>
      <c r="M29" s="11" t="s">
        <v>309</v>
      </c>
      <c r="N29" s="7" t="s">
        <v>56</v>
      </c>
      <c r="O29" s="1">
        <v>24.6</v>
      </c>
    </row>
    <row r="30" spans="6:15" x14ac:dyDescent="0.25">
      <c r="F30" s="32"/>
      <c r="G30" s="32"/>
      <c r="H30" s="32"/>
      <c r="I30" s="32"/>
      <c r="J30" s="32"/>
      <c r="K30" s="32"/>
      <c r="M30" s="11" t="s">
        <v>310</v>
      </c>
      <c r="N30" s="7" t="s">
        <v>56</v>
      </c>
      <c r="O30" s="1">
        <v>39.6</v>
      </c>
    </row>
    <row r="31" spans="6:15" x14ac:dyDescent="0.25">
      <c r="F31" s="2" t="s">
        <v>0</v>
      </c>
      <c r="G31" s="4">
        <v>46257</v>
      </c>
      <c r="H31" s="2" t="s">
        <v>2</v>
      </c>
      <c r="I31" s="1" t="s">
        <v>47</v>
      </c>
      <c r="J31" s="2" t="s">
        <v>11</v>
      </c>
      <c r="K31" s="1" t="s">
        <v>14</v>
      </c>
      <c r="M31" s="11" t="s">
        <v>311</v>
      </c>
      <c r="N31" s="7" t="s">
        <v>56</v>
      </c>
      <c r="O31" s="1">
        <v>35.9</v>
      </c>
    </row>
    <row r="32" spans="6:15" x14ac:dyDescent="0.25">
      <c r="F32" s="32" t="s">
        <v>970</v>
      </c>
      <c r="G32" s="32"/>
      <c r="H32" s="32"/>
      <c r="I32" s="32"/>
      <c r="J32" s="32"/>
      <c r="K32" s="32"/>
    </row>
    <row r="33" spans="6:11" x14ac:dyDescent="0.25">
      <c r="F33" s="32"/>
      <c r="G33" s="32"/>
      <c r="H33" s="32"/>
      <c r="I33" s="32"/>
      <c r="J33" s="32"/>
      <c r="K33" s="32"/>
    </row>
    <row r="34" spans="6:11" x14ac:dyDescent="0.25">
      <c r="F34" s="32"/>
      <c r="G34" s="32"/>
      <c r="H34" s="32"/>
      <c r="I34" s="32"/>
      <c r="J34" s="32"/>
      <c r="K34" s="32"/>
    </row>
    <row r="35" spans="6:11" x14ac:dyDescent="0.25">
      <c r="F35" s="2" t="s">
        <v>0</v>
      </c>
      <c r="G35" s="4">
        <v>46258</v>
      </c>
      <c r="H35" s="2" t="s">
        <v>2</v>
      </c>
      <c r="I35" s="1" t="s">
        <v>350</v>
      </c>
      <c r="J35" s="2" t="s">
        <v>11</v>
      </c>
      <c r="K35" s="1" t="s">
        <v>14</v>
      </c>
    </row>
    <row r="36" spans="6:11" x14ac:dyDescent="0.25">
      <c r="F36" s="32" t="s">
        <v>978</v>
      </c>
      <c r="G36" s="32"/>
      <c r="H36" s="32"/>
      <c r="I36" s="32"/>
      <c r="J36" s="32"/>
      <c r="K36" s="32"/>
    </row>
    <row r="37" spans="6:11" x14ac:dyDescent="0.25">
      <c r="F37" s="32"/>
      <c r="G37" s="32"/>
      <c r="H37" s="32"/>
      <c r="I37" s="32"/>
      <c r="J37" s="32"/>
      <c r="K37" s="32"/>
    </row>
    <row r="38" spans="6:11" x14ac:dyDescent="0.25">
      <c r="F38" s="32"/>
      <c r="G38" s="32"/>
      <c r="H38" s="32"/>
      <c r="I38" s="32"/>
      <c r="J38" s="32"/>
      <c r="K38" s="32"/>
    </row>
    <row r="39" spans="6:11" x14ac:dyDescent="0.25">
      <c r="F39" s="2" t="s">
        <v>0</v>
      </c>
      <c r="G39" s="4">
        <v>46261</v>
      </c>
      <c r="H39" s="2" t="s">
        <v>2</v>
      </c>
      <c r="I39" s="1" t="s">
        <v>22</v>
      </c>
      <c r="J39" s="2" t="s">
        <v>11</v>
      </c>
      <c r="K39" s="1" t="s">
        <v>14</v>
      </c>
    </row>
    <row r="40" spans="6:11" x14ac:dyDescent="0.25">
      <c r="F40" s="32" t="s">
        <v>1004</v>
      </c>
      <c r="G40" s="32"/>
      <c r="H40" s="32"/>
      <c r="I40" s="32"/>
      <c r="J40" s="32"/>
      <c r="K40" s="32"/>
    </row>
    <row r="41" spans="6:11" x14ac:dyDescent="0.25">
      <c r="F41" s="32"/>
      <c r="G41" s="32"/>
      <c r="H41" s="32"/>
      <c r="I41" s="32"/>
      <c r="J41" s="32"/>
      <c r="K41" s="32"/>
    </row>
    <row r="42" spans="6:11" x14ac:dyDescent="0.25">
      <c r="F42" s="32"/>
      <c r="G42" s="32"/>
      <c r="H42" s="32"/>
      <c r="I42" s="32"/>
      <c r="J42" s="32"/>
      <c r="K42" s="32"/>
    </row>
    <row r="43" spans="6:11" x14ac:dyDescent="0.25">
      <c r="F43" s="2" t="s">
        <v>0</v>
      </c>
      <c r="G43" s="4">
        <v>46268</v>
      </c>
      <c r="H43" s="2" t="s">
        <v>2</v>
      </c>
      <c r="I43" s="1" t="s">
        <v>47</v>
      </c>
      <c r="J43" s="2" t="s">
        <v>11</v>
      </c>
      <c r="K43" s="1" t="s">
        <v>14</v>
      </c>
    </row>
    <row r="44" spans="6:11" x14ac:dyDescent="0.25">
      <c r="F44" s="32" t="s">
        <v>1074</v>
      </c>
      <c r="G44" s="32"/>
      <c r="H44" s="32"/>
      <c r="I44" s="32"/>
      <c r="J44" s="32"/>
      <c r="K44" s="32"/>
    </row>
    <row r="45" spans="6:11" x14ac:dyDescent="0.25">
      <c r="F45" s="32"/>
      <c r="G45" s="32"/>
      <c r="H45" s="32"/>
      <c r="I45" s="32"/>
      <c r="J45" s="32"/>
      <c r="K45" s="32"/>
    </row>
    <row r="46" spans="6:11" x14ac:dyDescent="0.25">
      <c r="F46" s="2" t="s">
        <v>0</v>
      </c>
      <c r="G46" s="4">
        <v>46276</v>
      </c>
      <c r="H46" s="2" t="s">
        <v>2</v>
      </c>
      <c r="I46" s="1" t="s">
        <v>22</v>
      </c>
      <c r="J46" s="2" t="s">
        <v>11</v>
      </c>
      <c r="K46" s="1" t="s">
        <v>14</v>
      </c>
    </row>
    <row r="47" spans="6:11" x14ac:dyDescent="0.25">
      <c r="F47" s="32" t="s">
        <v>1135</v>
      </c>
      <c r="G47" s="32"/>
      <c r="H47" s="32"/>
      <c r="I47" s="32"/>
      <c r="J47" s="32"/>
      <c r="K47" s="32"/>
    </row>
    <row r="48" spans="6:11" x14ac:dyDescent="0.25">
      <c r="F48" s="32"/>
      <c r="G48" s="32"/>
      <c r="H48" s="32"/>
      <c r="I48" s="32"/>
      <c r="J48" s="32"/>
      <c r="K48" s="32"/>
    </row>
    <row r="49" spans="6:11" x14ac:dyDescent="0.25">
      <c r="F49" s="2" t="s">
        <v>0</v>
      </c>
      <c r="G49" s="4">
        <v>46283</v>
      </c>
      <c r="H49" s="2" t="s">
        <v>2</v>
      </c>
      <c r="I49" s="1" t="s">
        <v>35</v>
      </c>
      <c r="J49" s="2" t="s">
        <v>11</v>
      </c>
      <c r="K49" s="1" t="s">
        <v>14</v>
      </c>
    </row>
    <row r="50" spans="6:11" ht="14.45" customHeight="1" x14ac:dyDescent="0.25">
      <c r="F50" s="32" t="s">
        <v>1205</v>
      </c>
      <c r="G50" s="32"/>
      <c r="H50" s="32"/>
      <c r="I50" s="32"/>
      <c r="J50" s="32"/>
      <c r="K50" s="32"/>
    </row>
    <row r="51" spans="6:11" x14ac:dyDescent="0.25">
      <c r="F51" s="32"/>
      <c r="G51" s="32"/>
      <c r="H51" s="32"/>
      <c r="I51" s="32"/>
      <c r="J51" s="32"/>
      <c r="K51" s="32"/>
    </row>
    <row r="52" spans="6:11" x14ac:dyDescent="0.25">
      <c r="F52" s="32"/>
      <c r="G52" s="32"/>
      <c r="H52" s="32"/>
      <c r="I52" s="32"/>
      <c r="J52" s="32"/>
      <c r="K52" s="32"/>
    </row>
  </sheetData>
  <mergeCells count="18">
    <mergeCell ref="F50:K52"/>
    <mergeCell ref="F47:K48"/>
    <mergeCell ref="F44:K45"/>
    <mergeCell ref="F40:K42"/>
    <mergeCell ref="F32:K34"/>
    <mergeCell ref="F36:K38"/>
    <mergeCell ref="W1:X1"/>
    <mergeCell ref="M1:R1"/>
    <mergeCell ref="F1:K1"/>
    <mergeCell ref="F9:K10"/>
    <mergeCell ref="F6:K7"/>
    <mergeCell ref="F3:K4"/>
    <mergeCell ref="T1:U1"/>
    <mergeCell ref="F28:K30"/>
    <mergeCell ref="F25:K26"/>
    <mergeCell ref="F22:K23"/>
    <mergeCell ref="F12:K15"/>
    <mergeCell ref="F17:K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3AEEA-0224-43BF-AB9B-59BC92B0D02B}">
  <dimension ref="A1:V25"/>
  <sheetViews>
    <sheetView workbookViewId="0">
      <selection activeCell="A9" sqref="A9"/>
    </sheetView>
  </sheetViews>
  <sheetFormatPr baseColWidth="10" defaultRowHeight="15" x14ac:dyDescent="0.25"/>
  <cols>
    <col min="1" max="1" width="11.5703125" style="7"/>
    <col min="2" max="2" width="14.7109375" style="7" bestFit="1" customWidth="1"/>
    <col min="3" max="3" width="11.5703125" style="7"/>
    <col min="4" max="4" width="18.140625" style="7" bestFit="1" customWidth="1"/>
    <col min="18" max="18" width="21.28515625" bestFit="1" customWidth="1"/>
    <col min="19" max="19" width="19.425781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x14ac:dyDescent="0.25">
      <c r="A2" s="6">
        <v>46198</v>
      </c>
      <c r="B2" s="7" t="s">
        <v>62</v>
      </c>
      <c r="C2" s="7" t="s">
        <v>63</v>
      </c>
      <c r="D2" s="7" t="s">
        <v>64</v>
      </c>
      <c r="F2" s="2" t="s">
        <v>0</v>
      </c>
      <c r="G2" s="4">
        <v>46204</v>
      </c>
      <c r="H2" s="2" t="s">
        <v>2</v>
      </c>
      <c r="I2" s="1" t="s">
        <v>22</v>
      </c>
      <c r="J2" s="2" t="s">
        <v>11</v>
      </c>
      <c r="K2" s="1" t="s">
        <v>14</v>
      </c>
      <c r="M2" s="2" t="s">
        <v>0</v>
      </c>
      <c r="N2" s="1"/>
      <c r="O2" s="2" t="s">
        <v>6</v>
      </c>
      <c r="P2" s="1"/>
      <c r="R2" s="2" t="s">
        <v>11</v>
      </c>
      <c r="S2" s="8" t="s">
        <v>131</v>
      </c>
      <c r="U2" s="3" t="s">
        <v>0</v>
      </c>
      <c r="V2" s="3" t="s">
        <v>88</v>
      </c>
    </row>
    <row r="3" spans="1:22" ht="14.45" customHeight="1" x14ac:dyDescent="0.25">
      <c r="A3" s="6">
        <v>46204</v>
      </c>
      <c r="B3" s="7" t="s">
        <v>339</v>
      </c>
      <c r="C3" s="7" t="s">
        <v>340</v>
      </c>
      <c r="D3" s="7" t="s">
        <v>56</v>
      </c>
      <c r="F3" s="37" t="s">
        <v>369</v>
      </c>
      <c r="G3" s="37"/>
      <c r="H3" s="37"/>
      <c r="I3" s="37"/>
      <c r="J3" s="37"/>
      <c r="K3" s="37"/>
      <c r="R3" s="2" t="s">
        <v>76</v>
      </c>
      <c r="S3" s="8" t="s">
        <v>133</v>
      </c>
    </row>
    <row r="4" spans="1:22" x14ac:dyDescent="0.25">
      <c r="A4" s="6">
        <v>46242</v>
      </c>
      <c r="B4" s="7" t="s">
        <v>820</v>
      </c>
      <c r="C4" s="7" t="s">
        <v>63</v>
      </c>
      <c r="D4" s="7" t="s">
        <v>903</v>
      </c>
      <c r="F4" s="37"/>
      <c r="G4" s="37"/>
      <c r="H4" s="37"/>
      <c r="I4" s="37"/>
      <c r="J4" s="37"/>
      <c r="K4" s="37"/>
      <c r="R4" s="2" t="s">
        <v>77</v>
      </c>
      <c r="S4" s="8"/>
    </row>
    <row r="5" spans="1:22" x14ac:dyDescent="0.25">
      <c r="A5" s="6">
        <v>46244</v>
      </c>
      <c r="B5" s="7" t="s">
        <v>465</v>
      </c>
      <c r="C5" s="7" t="s">
        <v>31</v>
      </c>
      <c r="D5" s="7" t="s">
        <v>56</v>
      </c>
      <c r="F5" s="37"/>
      <c r="G5" s="37"/>
      <c r="H5" s="37"/>
      <c r="I5" s="37"/>
      <c r="J5" s="37"/>
      <c r="K5" s="37"/>
      <c r="R5" s="2" t="s">
        <v>78</v>
      </c>
      <c r="S5" s="8" t="s">
        <v>101</v>
      </c>
    </row>
    <row r="6" spans="1:22" x14ac:dyDescent="0.25">
      <c r="A6" s="6">
        <v>46246</v>
      </c>
      <c r="B6" s="7" t="s">
        <v>339</v>
      </c>
      <c r="C6" s="7" t="s">
        <v>340</v>
      </c>
      <c r="D6" s="7" t="s">
        <v>56</v>
      </c>
      <c r="F6" s="2" t="s">
        <v>0</v>
      </c>
      <c r="G6" s="4">
        <v>46238</v>
      </c>
      <c r="H6" s="2" t="s">
        <v>2</v>
      </c>
      <c r="I6" s="1" t="s">
        <v>16</v>
      </c>
      <c r="J6" s="2" t="s">
        <v>11</v>
      </c>
      <c r="K6" s="1" t="s">
        <v>14</v>
      </c>
      <c r="R6" s="2" t="s">
        <v>92</v>
      </c>
      <c r="S6" s="8" t="s">
        <v>134</v>
      </c>
    </row>
    <row r="7" spans="1:22" x14ac:dyDescent="0.25">
      <c r="A7" s="6">
        <v>46261</v>
      </c>
      <c r="B7" s="7" t="s">
        <v>1001</v>
      </c>
      <c r="C7" s="7" t="s">
        <v>22</v>
      </c>
      <c r="D7" s="7" t="s">
        <v>56</v>
      </c>
      <c r="F7" s="37" t="s">
        <v>755</v>
      </c>
      <c r="G7" s="37"/>
      <c r="H7" s="37"/>
      <c r="I7" s="37"/>
      <c r="J7" s="37"/>
      <c r="K7" s="37"/>
      <c r="R7" s="2" t="s">
        <v>80</v>
      </c>
      <c r="S7" s="8" t="s">
        <v>126</v>
      </c>
    </row>
    <row r="8" spans="1:22" x14ac:dyDescent="0.25">
      <c r="A8" s="6">
        <v>46263</v>
      </c>
      <c r="B8" s="7" t="s">
        <v>62</v>
      </c>
      <c r="C8" s="7" t="s">
        <v>63</v>
      </c>
      <c r="D8" s="7" t="s">
        <v>1030</v>
      </c>
      <c r="F8" s="37"/>
      <c r="G8" s="37"/>
      <c r="H8" s="37"/>
      <c r="I8" s="37"/>
      <c r="J8" s="37"/>
      <c r="K8" s="37"/>
      <c r="R8" s="2" t="s">
        <v>81</v>
      </c>
      <c r="S8" s="8" t="s">
        <v>93</v>
      </c>
    </row>
    <row r="9" spans="1:22" x14ac:dyDescent="0.25">
      <c r="A9" s="6">
        <v>46272</v>
      </c>
      <c r="B9" s="7" t="s">
        <v>1089</v>
      </c>
      <c r="C9" s="7" t="s">
        <v>31</v>
      </c>
      <c r="D9" s="7" t="s">
        <v>1090</v>
      </c>
      <c r="F9" s="37"/>
      <c r="G9" s="37"/>
      <c r="H9" s="37"/>
      <c r="I9" s="37"/>
      <c r="J9" s="37"/>
      <c r="K9" s="37"/>
      <c r="R9" s="2" t="s">
        <v>82</v>
      </c>
      <c r="S9" s="10">
        <f>S10+S11</f>
        <v>0.37009999999999998</v>
      </c>
    </row>
    <row r="10" spans="1:22" x14ac:dyDescent="0.25">
      <c r="F10" s="2" t="s">
        <v>0</v>
      </c>
      <c r="G10" s="4">
        <v>46247</v>
      </c>
      <c r="H10" s="2" t="s">
        <v>2</v>
      </c>
      <c r="I10" s="1" t="s">
        <v>47</v>
      </c>
      <c r="J10" s="2" t="s">
        <v>11</v>
      </c>
      <c r="K10" s="1" t="s">
        <v>14</v>
      </c>
      <c r="R10" s="2" t="s">
        <v>83</v>
      </c>
      <c r="S10" s="8">
        <v>0.3478</v>
      </c>
    </row>
    <row r="11" spans="1:22" ht="14.45" customHeight="1" x14ac:dyDescent="0.25">
      <c r="F11" s="37" t="s">
        <v>889</v>
      </c>
      <c r="G11" s="37"/>
      <c r="H11" s="37"/>
      <c r="I11" s="37"/>
      <c r="J11" s="37"/>
      <c r="K11" s="37"/>
      <c r="R11" s="2" t="s">
        <v>84</v>
      </c>
      <c r="S11" s="10">
        <v>2.23E-2</v>
      </c>
    </row>
    <row r="12" spans="1:22" x14ac:dyDescent="0.25">
      <c r="F12" s="37"/>
      <c r="G12" s="37"/>
      <c r="H12" s="37"/>
      <c r="I12" s="37"/>
      <c r="J12" s="37"/>
      <c r="K12" s="37"/>
      <c r="R12" s="2" t="s">
        <v>115</v>
      </c>
      <c r="S12" s="8"/>
    </row>
    <row r="13" spans="1:22" x14ac:dyDescent="0.25">
      <c r="F13" s="37"/>
      <c r="G13" s="37"/>
      <c r="H13" s="37"/>
      <c r="I13" s="37"/>
      <c r="J13" s="37"/>
      <c r="K13" s="37"/>
      <c r="R13" s="2" t="s">
        <v>11</v>
      </c>
      <c r="S13" s="8" t="s">
        <v>132</v>
      </c>
    </row>
    <row r="14" spans="1:22" x14ac:dyDescent="0.25">
      <c r="F14" s="37"/>
      <c r="G14" s="37"/>
      <c r="H14" s="37"/>
      <c r="I14" s="37"/>
      <c r="J14" s="37"/>
      <c r="K14" s="37"/>
      <c r="R14" s="2" t="s">
        <v>76</v>
      </c>
      <c r="S14" s="8" t="s">
        <v>135</v>
      </c>
    </row>
    <row r="15" spans="1:22" x14ac:dyDescent="0.25">
      <c r="F15" s="2" t="s">
        <v>0</v>
      </c>
      <c r="G15" s="4">
        <v>46261</v>
      </c>
      <c r="H15" s="2" t="s">
        <v>2</v>
      </c>
      <c r="I15" s="1" t="s">
        <v>22</v>
      </c>
      <c r="J15" s="2" t="s">
        <v>11</v>
      </c>
      <c r="K15" s="1" t="s">
        <v>14</v>
      </c>
      <c r="R15" s="2" t="s">
        <v>77</v>
      </c>
      <c r="S15" s="8"/>
    </row>
    <row r="16" spans="1:22" x14ac:dyDescent="0.25">
      <c r="F16" s="32" t="s">
        <v>1002</v>
      </c>
      <c r="G16" s="32"/>
      <c r="H16" s="32"/>
      <c r="I16" s="32"/>
      <c r="J16" s="32"/>
      <c r="K16" s="32"/>
      <c r="R16" s="2" t="s">
        <v>78</v>
      </c>
      <c r="S16" s="8" t="s">
        <v>101</v>
      </c>
    </row>
    <row r="17" spans="6:19" x14ac:dyDescent="0.25">
      <c r="F17" s="32"/>
      <c r="G17" s="32"/>
      <c r="H17" s="32"/>
      <c r="I17" s="32"/>
      <c r="J17" s="32"/>
      <c r="K17" s="32"/>
      <c r="R17" s="2" t="s">
        <v>92</v>
      </c>
      <c r="S17" s="8" t="s">
        <v>134</v>
      </c>
    </row>
    <row r="18" spans="6:19" x14ac:dyDescent="0.25">
      <c r="F18" s="32"/>
      <c r="G18" s="32"/>
      <c r="H18" s="32"/>
      <c r="I18" s="32"/>
      <c r="J18" s="32"/>
      <c r="K18" s="32"/>
      <c r="R18" s="2" t="s">
        <v>80</v>
      </c>
      <c r="S18" s="8" t="s">
        <v>126</v>
      </c>
    </row>
    <row r="19" spans="6:19" x14ac:dyDescent="0.25">
      <c r="F19" s="32"/>
      <c r="G19" s="32"/>
      <c r="H19" s="32"/>
      <c r="I19" s="32"/>
      <c r="J19" s="32"/>
      <c r="K19" s="32"/>
      <c r="R19" s="2" t="s">
        <v>81</v>
      </c>
      <c r="S19" s="8" t="s">
        <v>93</v>
      </c>
    </row>
    <row r="20" spans="6:19" x14ac:dyDescent="0.25">
      <c r="R20" s="2" t="s">
        <v>82</v>
      </c>
      <c r="S20" s="10">
        <f>S21+S22</f>
        <v>0.17599999999999999</v>
      </c>
    </row>
    <row r="21" spans="6:19" x14ac:dyDescent="0.25">
      <c r="R21" s="2" t="s">
        <v>83</v>
      </c>
      <c r="S21" s="8">
        <v>0.1711</v>
      </c>
    </row>
    <row r="22" spans="6:19" x14ac:dyDescent="0.25">
      <c r="R22" s="2" t="s">
        <v>84</v>
      </c>
      <c r="S22" s="10">
        <v>4.8999999999999998E-3</v>
      </c>
    </row>
    <row r="23" spans="6:19" x14ac:dyDescent="0.25">
      <c r="R23" s="2" t="s">
        <v>115</v>
      </c>
      <c r="S23" s="8"/>
    </row>
    <row r="24" spans="6:19" x14ac:dyDescent="0.25">
      <c r="R24" s="2" t="s">
        <v>85</v>
      </c>
      <c r="S24" s="8">
        <f>S21+S10</f>
        <v>0.51890000000000003</v>
      </c>
    </row>
    <row r="25" spans="6:19" x14ac:dyDescent="0.25">
      <c r="R25" s="2" t="s">
        <v>86</v>
      </c>
      <c r="S25" s="10">
        <f>S24*12.032</f>
        <v>6.2434048000000004</v>
      </c>
    </row>
  </sheetData>
  <mergeCells count="8">
    <mergeCell ref="F16:K19"/>
    <mergeCell ref="U1:V1"/>
    <mergeCell ref="F1:K1"/>
    <mergeCell ref="F11:K14"/>
    <mergeCell ref="F7:K9"/>
    <mergeCell ref="F3:K5"/>
    <mergeCell ref="M1:P1"/>
    <mergeCell ref="R1:S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39A1C-E8AD-4E58-9DD7-72FCC26CE194}">
  <dimension ref="A1:V404"/>
  <sheetViews>
    <sheetView topLeftCell="A93" workbookViewId="0">
      <selection activeCell="C116" sqref="C116"/>
    </sheetView>
  </sheetViews>
  <sheetFormatPr baseColWidth="10" defaultRowHeight="15" x14ac:dyDescent="0.25"/>
  <cols>
    <col min="1" max="1" width="11.5703125" style="7"/>
    <col min="2" max="2" width="49.28515625" style="7" bestFit="1" customWidth="1"/>
    <col min="3" max="3" width="11.5703125" style="7"/>
    <col min="4" max="4" width="29.7109375" style="7" bestFit="1" customWidth="1"/>
    <col min="18" max="18" width="21.28515625" bestFit="1" customWidth="1"/>
    <col min="19" max="19" width="20.710937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x14ac:dyDescent="0.25">
      <c r="A2" s="6">
        <v>46201</v>
      </c>
      <c r="B2" s="7" t="s">
        <v>279</v>
      </c>
      <c r="C2" s="7" t="s">
        <v>280</v>
      </c>
      <c r="D2" s="7" t="s">
        <v>56</v>
      </c>
      <c r="F2" s="2" t="s">
        <v>0</v>
      </c>
      <c r="G2" s="4">
        <v>46201</v>
      </c>
      <c r="H2" s="2" t="s">
        <v>2</v>
      </c>
      <c r="I2" s="1" t="s">
        <v>280</v>
      </c>
      <c r="J2" s="2" t="s">
        <v>11</v>
      </c>
      <c r="K2" s="1" t="s">
        <v>281</v>
      </c>
      <c r="M2" s="2" t="s">
        <v>0</v>
      </c>
      <c r="N2" s="1"/>
      <c r="O2" s="2" t="s">
        <v>6</v>
      </c>
      <c r="P2" s="1"/>
      <c r="R2" s="2" t="s">
        <v>11</v>
      </c>
      <c r="S2" s="8" t="s">
        <v>138</v>
      </c>
      <c r="U2" s="3" t="s">
        <v>0</v>
      </c>
      <c r="V2" s="3" t="s">
        <v>88</v>
      </c>
    </row>
    <row r="3" spans="1:22" x14ac:dyDescent="0.25">
      <c r="A3" s="6">
        <v>46202</v>
      </c>
      <c r="B3" s="7" t="s">
        <v>279</v>
      </c>
      <c r="C3" s="7" t="s">
        <v>280</v>
      </c>
      <c r="D3" s="7" t="s">
        <v>56</v>
      </c>
      <c r="F3" s="32" t="s">
        <v>334</v>
      </c>
      <c r="G3" s="32"/>
      <c r="H3" s="32"/>
      <c r="I3" s="32"/>
      <c r="J3" s="32"/>
      <c r="K3" s="32"/>
      <c r="R3" s="2" t="s">
        <v>76</v>
      </c>
      <c r="S3" s="8" t="s">
        <v>136</v>
      </c>
    </row>
    <row r="4" spans="1:22" x14ac:dyDescent="0.25">
      <c r="A4" s="6">
        <v>46203</v>
      </c>
      <c r="B4" s="7" t="s">
        <v>279</v>
      </c>
      <c r="C4" s="7" t="s">
        <v>280</v>
      </c>
      <c r="D4" s="7" t="s">
        <v>56</v>
      </c>
      <c r="F4" s="32"/>
      <c r="G4" s="32"/>
      <c r="H4" s="32"/>
      <c r="I4" s="32"/>
      <c r="J4" s="32"/>
      <c r="K4" s="32"/>
      <c r="R4" s="2" t="s">
        <v>77</v>
      </c>
      <c r="S4" s="8"/>
    </row>
    <row r="5" spans="1:22" x14ac:dyDescent="0.25">
      <c r="A5" s="6">
        <v>46204</v>
      </c>
      <c r="B5" s="7" t="s">
        <v>279</v>
      </c>
      <c r="C5" s="7" t="s">
        <v>280</v>
      </c>
      <c r="D5" s="7" t="s">
        <v>56</v>
      </c>
      <c r="F5" s="2" t="s">
        <v>0</v>
      </c>
      <c r="G5" s="4">
        <v>46202</v>
      </c>
      <c r="H5" s="2" t="s">
        <v>2</v>
      </c>
      <c r="I5" s="1" t="s">
        <v>280</v>
      </c>
      <c r="J5" s="2" t="s">
        <v>11</v>
      </c>
      <c r="K5" s="1" t="s">
        <v>281</v>
      </c>
      <c r="R5" s="2" t="s">
        <v>78</v>
      </c>
      <c r="S5" s="8" t="s">
        <v>137</v>
      </c>
    </row>
    <row r="6" spans="1:22" ht="14.45" customHeight="1" x14ac:dyDescent="0.25">
      <c r="A6" s="6">
        <v>46205</v>
      </c>
      <c r="B6" s="7" t="s">
        <v>279</v>
      </c>
      <c r="C6" s="7" t="s">
        <v>280</v>
      </c>
      <c r="D6" s="7" t="s">
        <v>56</v>
      </c>
      <c r="F6" s="32" t="s">
        <v>335</v>
      </c>
      <c r="G6" s="32"/>
      <c r="H6" s="32"/>
      <c r="I6" s="32"/>
      <c r="J6" s="32"/>
      <c r="K6" s="32"/>
      <c r="R6" s="2" t="s">
        <v>92</v>
      </c>
      <c r="S6" s="8"/>
    </row>
    <row r="7" spans="1:22" x14ac:dyDescent="0.25">
      <c r="A7" s="6">
        <v>46205</v>
      </c>
      <c r="B7" s="7" t="s">
        <v>381</v>
      </c>
      <c r="C7" s="7" t="s">
        <v>280</v>
      </c>
      <c r="D7" s="7" t="s">
        <v>382</v>
      </c>
      <c r="F7" s="32"/>
      <c r="G7" s="32"/>
      <c r="H7" s="32"/>
      <c r="I7" s="32"/>
      <c r="J7" s="32"/>
      <c r="K7" s="32"/>
      <c r="R7" s="2" t="s">
        <v>80</v>
      </c>
      <c r="S7" s="8"/>
    </row>
    <row r="8" spans="1:22" x14ac:dyDescent="0.25">
      <c r="A8" s="6">
        <v>46206</v>
      </c>
      <c r="B8" s="7" t="s">
        <v>279</v>
      </c>
      <c r="C8" s="7" t="s">
        <v>280</v>
      </c>
      <c r="D8" s="7" t="s">
        <v>56</v>
      </c>
      <c r="F8" s="32"/>
      <c r="G8" s="32"/>
      <c r="H8" s="32"/>
      <c r="I8" s="32"/>
      <c r="J8" s="32"/>
      <c r="K8" s="32"/>
      <c r="R8" s="2" t="s">
        <v>81</v>
      </c>
      <c r="S8" s="8"/>
    </row>
    <row r="9" spans="1:22" x14ac:dyDescent="0.25">
      <c r="A9" s="6">
        <v>46206</v>
      </c>
      <c r="B9" s="7" t="s">
        <v>390</v>
      </c>
      <c r="C9" s="7" t="s">
        <v>63</v>
      </c>
      <c r="D9" s="7" t="s">
        <v>391</v>
      </c>
      <c r="F9" s="32"/>
      <c r="G9" s="32"/>
      <c r="H9" s="32"/>
      <c r="I9" s="32"/>
      <c r="J9" s="32"/>
      <c r="K9" s="32"/>
      <c r="R9" s="2" t="s">
        <v>82</v>
      </c>
      <c r="S9" s="8">
        <f>S10+S11</f>
        <v>0.50139999999999996</v>
      </c>
    </row>
    <row r="10" spans="1:22" x14ac:dyDescent="0.25">
      <c r="A10" s="6">
        <v>46207</v>
      </c>
      <c r="B10" s="7" t="s">
        <v>279</v>
      </c>
      <c r="C10" s="7" t="s">
        <v>280</v>
      </c>
      <c r="D10" s="7" t="s">
        <v>56</v>
      </c>
      <c r="F10" s="32"/>
      <c r="G10" s="32"/>
      <c r="H10" s="32"/>
      <c r="I10" s="32"/>
      <c r="J10" s="32"/>
      <c r="K10" s="32"/>
      <c r="R10" s="2" t="s">
        <v>83</v>
      </c>
      <c r="S10" s="8">
        <v>0.4677</v>
      </c>
    </row>
    <row r="11" spans="1:22" x14ac:dyDescent="0.25">
      <c r="A11" s="6">
        <v>46207</v>
      </c>
      <c r="B11" s="7" t="s">
        <v>438</v>
      </c>
      <c r="C11" s="7" t="s">
        <v>280</v>
      </c>
      <c r="D11" s="7" t="s">
        <v>440</v>
      </c>
      <c r="F11" s="32"/>
      <c r="G11" s="32"/>
      <c r="H11" s="32"/>
      <c r="I11" s="32"/>
      <c r="J11" s="32"/>
      <c r="K11" s="32"/>
      <c r="R11" s="2" t="s">
        <v>84</v>
      </c>
      <c r="S11" s="10">
        <v>3.3700000000000001E-2</v>
      </c>
    </row>
    <row r="12" spans="1:22" x14ac:dyDescent="0.25">
      <c r="A12" s="6">
        <v>46208</v>
      </c>
      <c r="B12" s="7" t="s">
        <v>279</v>
      </c>
      <c r="C12" s="7" t="s">
        <v>280</v>
      </c>
      <c r="D12" s="7" t="s">
        <v>56</v>
      </c>
      <c r="F12" s="32"/>
      <c r="G12" s="32"/>
      <c r="H12" s="32"/>
      <c r="I12" s="32"/>
      <c r="J12" s="32"/>
      <c r="K12" s="32"/>
      <c r="R12" s="2" t="s">
        <v>115</v>
      </c>
      <c r="S12" s="8">
        <v>2017</v>
      </c>
    </row>
    <row r="13" spans="1:22" x14ac:dyDescent="0.25">
      <c r="A13" s="6">
        <v>46209</v>
      </c>
      <c r="B13" s="7" t="s">
        <v>279</v>
      </c>
      <c r="C13" s="7" t="s">
        <v>280</v>
      </c>
      <c r="D13" s="7" t="s">
        <v>56</v>
      </c>
      <c r="F13" s="32"/>
      <c r="G13" s="32"/>
      <c r="H13" s="32"/>
      <c r="I13" s="32"/>
      <c r="J13" s="32"/>
      <c r="K13" s="32"/>
      <c r="R13" s="2" t="s">
        <v>85</v>
      </c>
      <c r="S13" s="8">
        <f>S10</f>
        <v>0.4677</v>
      </c>
    </row>
    <row r="14" spans="1:22" x14ac:dyDescent="0.25">
      <c r="A14" s="6">
        <v>46210</v>
      </c>
      <c r="B14" s="7" t="s">
        <v>279</v>
      </c>
      <c r="C14" s="7" t="s">
        <v>280</v>
      </c>
      <c r="D14" s="7" t="s">
        <v>56</v>
      </c>
      <c r="F14" s="32"/>
      <c r="G14" s="32"/>
      <c r="H14" s="32"/>
      <c r="I14" s="32"/>
      <c r="J14" s="32"/>
      <c r="K14" s="32"/>
      <c r="R14" s="2" t="s">
        <v>86</v>
      </c>
      <c r="S14" s="10">
        <f>S13*12.032</f>
        <v>5.6273663999999997</v>
      </c>
    </row>
    <row r="15" spans="1:22" x14ac:dyDescent="0.25">
      <c r="A15" s="6">
        <v>46212</v>
      </c>
      <c r="B15" s="7" t="s">
        <v>467</v>
      </c>
      <c r="C15" s="7" t="s">
        <v>280</v>
      </c>
      <c r="D15" s="7" t="s">
        <v>45</v>
      </c>
      <c r="F15" s="32"/>
      <c r="G15" s="32"/>
      <c r="H15" s="32"/>
      <c r="I15" s="32"/>
      <c r="J15" s="32"/>
      <c r="K15" s="32"/>
    </row>
    <row r="16" spans="1:22" x14ac:dyDescent="0.25">
      <c r="A16" s="6">
        <v>46213</v>
      </c>
      <c r="B16" s="7" t="s">
        <v>475</v>
      </c>
      <c r="C16" s="7" t="s">
        <v>280</v>
      </c>
      <c r="D16" s="7" t="s">
        <v>543</v>
      </c>
      <c r="F16" s="2" t="s">
        <v>0</v>
      </c>
      <c r="G16" s="4">
        <v>46203</v>
      </c>
      <c r="H16" s="2" t="s">
        <v>2</v>
      </c>
      <c r="I16" s="1" t="s">
        <v>280</v>
      </c>
      <c r="J16" s="2" t="s">
        <v>11</v>
      </c>
      <c r="K16" s="1" t="s">
        <v>281</v>
      </c>
    </row>
    <row r="17" spans="1:11" x14ac:dyDescent="0.25">
      <c r="A17" s="6">
        <v>46213</v>
      </c>
      <c r="B17" s="7" t="s">
        <v>279</v>
      </c>
      <c r="C17" s="7" t="s">
        <v>280</v>
      </c>
      <c r="D17" s="7" t="s">
        <v>56</v>
      </c>
      <c r="F17" s="32" t="s">
        <v>342</v>
      </c>
      <c r="G17" s="32"/>
      <c r="H17" s="32"/>
      <c r="I17" s="32"/>
      <c r="J17" s="32"/>
      <c r="K17" s="32"/>
    </row>
    <row r="18" spans="1:11" x14ac:dyDescent="0.25">
      <c r="A18" s="6">
        <v>46214</v>
      </c>
      <c r="B18" s="7" t="s">
        <v>279</v>
      </c>
      <c r="C18" s="7" t="s">
        <v>280</v>
      </c>
      <c r="D18" s="7" t="s">
        <v>56</v>
      </c>
      <c r="F18" s="32"/>
      <c r="G18" s="32"/>
      <c r="H18" s="32"/>
      <c r="I18" s="32"/>
      <c r="J18" s="32"/>
      <c r="K18" s="32"/>
    </row>
    <row r="19" spans="1:11" x14ac:dyDescent="0.25">
      <c r="A19" s="6">
        <v>46215</v>
      </c>
      <c r="B19" s="7" t="s">
        <v>279</v>
      </c>
      <c r="C19" s="7" t="s">
        <v>280</v>
      </c>
      <c r="D19" s="7" t="s">
        <v>56</v>
      </c>
      <c r="F19" s="32"/>
      <c r="G19" s="32"/>
      <c r="H19" s="32"/>
      <c r="I19" s="32"/>
      <c r="J19" s="32"/>
      <c r="K19" s="32"/>
    </row>
    <row r="20" spans="1:11" x14ac:dyDescent="0.25">
      <c r="A20" s="6">
        <v>46215</v>
      </c>
      <c r="B20" s="7" t="s">
        <v>475</v>
      </c>
      <c r="C20" s="7" t="s">
        <v>280</v>
      </c>
      <c r="D20" s="7" t="s">
        <v>488</v>
      </c>
      <c r="F20" s="32"/>
      <c r="G20" s="32"/>
      <c r="H20" s="32"/>
      <c r="I20" s="32"/>
      <c r="J20" s="32"/>
      <c r="K20" s="32"/>
    </row>
    <row r="21" spans="1:11" x14ac:dyDescent="0.25">
      <c r="A21" s="6">
        <v>46216</v>
      </c>
      <c r="B21" s="7" t="s">
        <v>279</v>
      </c>
      <c r="C21" s="7" t="s">
        <v>280</v>
      </c>
      <c r="D21" s="7" t="s">
        <v>56</v>
      </c>
      <c r="F21" s="32"/>
      <c r="G21" s="32"/>
      <c r="H21" s="32"/>
      <c r="I21" s="32"/>
      <c r="J21" s="32"/>
      <c r="K21" s="32"/>
    </row>
    <row r="22" spans="1:11" x14ac:dyDescent="0.25">
      <c r="A22" s="6">
        <v>46216</v>
      </c>
      <c r="B22" s="7" t="s">
        <v>514</v>
      </c>
      <c r="C22" s="7" t="s">
        <v>18</v>
      </c>
      <c r="D22" s="7" t="s">
        <v>56</v>
      </c>
      <c r="F22" s="32"/>
      <c r="G22" s="32"/>
      <c r="H22" s="32"/>
      <c r="I22" s="32"/>
      <c r="J22" s="32"/>
      <c r="K22" s="32"/>
    </row>
    <row r="23" spans="1:11" x14ac:dyDescent="0.25">
      <c r="A23" s="6">
        <v>46217</v>
      </c>
      <c r="B23" s="7" t="s">
        <v>279</v>
      </c>
      <c r="C23" s="7" t="s">
        <v>280</v>
      </c>
      <c r="D23" s="7" t="s">
        <v>56</v>
      </c>
      <c r="F23" s="32"/>
      <c r="G23" s="32"/>
      <c r="H23" s="32"/>
      <c r="I23" s="32"/>
      <c r="J23" s="32"/>
      <c r="K23" s="32"/>
    </row>
    <row r="24" spans="1:11" x14ac:dyDescent="0.25">
      <c r="A24" s="6">
        <v>46218</v>
      </c>
      <c r="B24" s="7" t="s">
        <v>279</v>
      </c>
      <c r="C24" s="7" t="s">
        <v>280</v>
      </c>
      <c r="D24" s="7" t="s">
        <v>56</v>
      </c>
      <c r="F24" s="32"/>
      <c r="G24" s="32"/>
      <c r="H24" s="32"/>
      <c r="I24" s="32"/>
      <c r="J24" s="32"/>
      <c r="K24" s="32"/>
    </row>
    <row r="25" spans="1:11" x14ac:dyDescent="0.25">
      <c r="A25" s="6">
        <v>46219</v>
      </c>
      <c r="B25" s="7" t="s">
        <v>279</v>
      </c>
      <c r="C25" s="7" t="s">
        <v>280</v>
      </c>
      <c r="D25" s="7" t="s">
        <v>56</v>
      </c>
      <c r="F25" s="32"/>
      <c r="G25" s="32"/>
      <c r="H25" s="32"/>
      <c r="I25" s="32"/>
      <c r="J25" s="32"/>
      <c r="K25" s="32"/>
    </row>
    <row r="26" spans="1:11" x14ac:dyDescent="0.25">
      <c r="A26" s="6">
        <v>46220</v>
      </c>
      <c r="B26" s="7" t="s">
        <v>467</v>
      </c>
      <c r="C26" s="7" t="s">
        <v>280</v>
      </c>
      <c r="D26" s="7" t="s">
        <v>45</v>
      </c>
      <c r="F26" s="32"/>
      <c r="G26" s="32"/>
      <c r="H26" s="32"/>
      <c r="I26" s="32"/>
      <c r="J26" s="32"/>
      <c r="K26" s="32"/>
    </row>
    <row r="27" spans="1:11" x14ac:dyDescent="0.25">
      <c r="A27" s="6">
        <v>46220</v>
      </c>
      <c r="B27" s="7" t="s">
        <v>539</v>
      </c>
      <c r="C27" s="7" t="s">
        <v>280</v>
      </c>
      <c r="D27" s="7" t="s">
        <v>45</v>
      </c>
      <c r="F27" s="2" t="s">
        <v>0</v>
      </c>
      <c r="G27" s="6">
        <v>46204</v>
      </c>
      <c r="H27" s="2" t="s">
        <v>2</v>
      </c>
      <c r="I27" s="1" t="s">
        <v>280</v>
      </c>
      <c r="J27" s="2" t="s">
        <v>11</v>
      </c>
      <c r="K27" s="1" t="s">
        <v>281</v>
      </c>
    </row>
    <row r="28" spans="1:11" x14ac:dyDescent="0.25">
      <c r="A28" s="6">
        <v>46220</v>
      </c>
      <c r="B28" s="7" t="s">
        <v>540</v>
      </c>
      <c r="C28" s="7" t="s">
        <v>280</v>
      </c>
      <c r="D28" s="7" t="s">
        <v>45</v>
      </c>
      <c r="F28" s="32" t="s">
        <v>349</v>
      </c>
      <c r="G28" s="32"/>
      <c r="H28" s="32"/>
      <c r="I28" s="32"/>
      <c r="J28" s="32"/>
      <c r="K28" s="32"/>
    </row>
    <row r="29" spans="1:11" x14ac:dyDescent="0.25">
      <c r="A29" s="6">
        <v>46221</v>
      </c>
      <c r="B29" s="7" t="s">
        <v>279</v>
      </c>
      <c r="C29" s="7" t="s">
        <v>280</v>
      </c>
      <c r="D29" s="7" t="s">
        <v>56</v>
      </c>
      <c r="F29" s="32"/>
      <c r="G29" s="32"/>
      <c r="H29" s="32"/>
      <c r="I29" s="32"/>
      <c r="J29" s="32"/>
      <c r="K29" s="32"/>
    </row>
    <row r="30" spans="1:11" x14ac:dyDescent="0.25">
      <c r="A30" s="6">
        <v>46221</v>
      </c>
      <c r="B30" s="7" t="s">
        <v>544</v>
      </c>
      <c r="C30" s="7" t="s">
        <v>280</v>
      </c>
      <c r="D30" s="7" t="s">
        <v>45</v>
      </c>
      <c r="F30" s="32"/>
      <c r="G30" s="32"/>
      <c r="H30" s="32"/>
      <c r="I30" s="32"/>
      <c r="J30" s="32"/>
      <c r="K30" s="32"/>
    </row>
    <row r="31" spans="1:11" x14ac:dyDescent="0.25">
      <c r="A31" s="6">
        <v>46221</v>
      </c>
      <c r="B31" s="7" t="s">
        <v>545</v>
      </c>
      <c r="C31" s="7" t="s">
        <v>280</v>
      </c>
      <c r="D31" s="7" t="s">
        <v>56</v>
      </c>
      <c r="F31" s="32"/>
      <c r="G31" s="32"/>
      <c r="H31" s="32"/>
      <c r="I31" s="32"/>
      <c r="J31" s="32"/>
      <c r="K31" s="32"/>
    </row>
    <row r="32" spans="1:11" x14ac:dyDescent="0.25">
      <c r="A32" s="6">
        <v>46222</v>
      </c>
      <c r="B32" s="7" t="s">
        <v>279</v>
      </c>
      <c r="C32" s="7" t="s">
        <v>280</v>
      </c>
      <c r="D32" s="7" t="s">
        <v>56</v>
      </c>
      <c r="F32" s="32"/>
      <c r="G32" s="32"/>
      <c r="H32" s="32"/>
      <c r="I32" s="32"/>
      <c r="J32" s="32"/>
      <c r="K32" s="32"/>
    </row>
    <row r="33" spans="1:11" x14ac:dyDescent="0.25">
      <c r="A33" s="6">
        <v>46223</v>
      </c>
      <c r="B33" s="7" t="s">
        <v>279</v>
      </c>
      <c r="C33" s="7" t="s">
        <v>280</v>
      </c>
      <c r="D33" s="7" t="s">
        <v>56</v>
      </c>
      <c r="F33" s="32"/>
      <c r="G33" s="32"/>
      <c r="H33" s="32"/>
      <c r="I33" s="32"/>
      <c r="J33" s="32"/>
      <c r="K33" s="32"/>
    </row>
    <row r="34" spans="1:11" x14ac:dyDescent="0.25">
      <c r="A34" s="6">
        <v>46224</v>
      </c>
      <c r="B34" s="7" t="s">
        <v>279</v>
      </c>
      <c r="C34" s="7" t="s">
        <v>280</v>
      </c>
      <c r="D34" s="7" t="s">
        <v>56</v>
      </c>
      <c r="F34" s="32"/>
      <c r="G34" s="32"/>
      <c r="H34" s="32"/>
      <c r="I34" s="32"/>
      <c r="J34" s="32"/>
      <c r="K34" s="32"/>
    </row>
    <row r="35" spans="1:11" x14ac:dyDescent="0.25">
      <c r="A35" s="6">
        <v>46225</v>
      </c>
      <c r="B35" s="7" t="s">
        <v>279</v>
      </c>
      <c r="C35" s="7" t="s">
        <v>280</v>
      </c>
      <c r="D35" s="7" t="s">
        <v>56</v>
      </c>
      <c r="F35" s="32"/>
      <c r="G35" s="32"/>
      <c r="H35" s="32"/>
      <c r="I35" s="32"/>
      <c r="J35" s="32"/>
      <c r="K35" s="32"/>
    </row>
    <row r="36" spans="1:11" x14ac:dyDescent="0.25">
      <c r="A36" s="6">
        <v>46225</v>
      </c>
      <c r="B36" s="7" t="s">
        <v>589</v>
      </c>
      <c r="C36" s="7" t="s">
        <v>280</v>
      </c>
      <c r="D36" s="7" t="s">
        <v>56</v>
      </c>
      <c r="F36" s="32"/>
      <c r="G36" s="32"/>
      <c r="H36" s="32"/>
      <c r="I36" s="32"/>
      <c r="J36" s="32"/>
      <c r="K36" s="32"/>
    </row>
    <row r="37" spans="1:11" x14ac:dyDescent="0.25">
      <c r="A37" s="6">
        <v>46225</v>
      </c>
      <c r="B37" s="7" t="s">
        <v>590</v>
      </c>
      <c r="C37" s="7" t="s">
        <v>280</v>
      </c>
      <c r="D37" s="7" t="s">
        <v>592</v>
      </c>
      <c r="F37" s="32"/>
      <c r="G37" s="32"/>
      <c r="H37" s="32"/>
      <c r="I37" s="32"/>
      <c r="J37" s="32"/>
      <c r="K37" s="32"/>
    </row>
    <row r="38" spans="1:11" x14ac:dyDescent="0.25">
      <c r="A38" s="6">
        <v>46226</v>
      </c>
      <c r="B38" s="7" t="s">
        <v>279</v>
      </c>
      <c r="C38" s="7" t="s">
        <v>280</v>
      </c>
      <c r="D38" s="7" t="s">
        <v>56</v>
      </c>
      <c r="F38" s="2" t="s">
        <v>0</v>
      </c>
      <c r="G38" s="4">
        <v>46204</v>
      </c>
      <c r="H38" s="2" t="s">
        <v>2</v>
      </c>
      <c r="I38" s="1" t="s">
        <v>378</v>
      </c>
      <c r="J38" s="2" t="s">
        <v>11</v>
      </c>
      <c r="K38" s="1" t="s">
        <v>14</v>
      </c>
    </row>
    <row r="39" spans="1:11" x14ac:dyDescent="0.25">
      <c r="A39" s="6">
        <v>46227</v>
      </c>
      <c r="B39" s="7" t="s">
        <v>279</v>
      </c>
      <c r="C39" s="7" t="s">
        <v>47</v>
      </c>
      <c r="D39" s="7" t="s">
        <v>56</v>
      </c>
      <c r="F39" s="32" t="s">
        <v>379</v>
      </c>
      <c r="G39" s="32"/>
      <c r="H39" s="32"/>
      <c r="I39" s="32"/>
      <c r="J39" s="32"/>
      <c r="K39" s="32"/>
    </row>
    <row r="40" spans="1:11" x14ac:dyDescent="0.25">
      <c r="A40" s="6">
        <v>46228</v>
      </c>
      <c r="B40" s="7" t="s">
        <v>279</v>
      </c>
      <c r="C40" s="7" t="s">
        <v>280</v>
      </c>
      <c r="D40" s="7" t="s">
        <v>56</v>
      </c>
      <c r="F40" s="32"/>
      <c r="G40" s="32"/>
      <c r="H40" s="32"/>
      <c r="I40" s="32"/>
      <c r="J40" s="32"/>
      <c r="K40" s="32"/>
    </row>
    <row r="41" spans="1:11" x14ac:dyDescent="0.25">
      <c r="A41" s="6">
        <v>46229</v>
      </c>
      <c r="B41" s="7" t="s">
        <v>279</v>
      </c>
      <c r="C41" s="7" t="s">
        <v>280</v>
      </c>
      <c r="D41" s="7" t="s">
        <v>56</v>
      </c>
      <c r="F41" s="32"/>
      <c r="G41" s="32"/>
      <c r="H41" s="32"/>
      <c r="I41" s="32"/>
      <c r="J41" s="32"/>
      <c r="K41" s="32"/>
    </row>
    <row r="42" spans="1:11" x14ac:dyDescent="0.25">
      <c r="A42" s="6">
        <v>46229</v>
      </c>
      <c r="B42" s="7" t="s">
        <v>641</v>
      </c>
      <c r="C42" s="7" t="s">
        <v>280</v>
      </c>
      <c r="D42" s="7" t="s">
        <v>56</v>
      </c>
      <c r="F42" s="2" t="s">
        <v>0</v>
      </c>
      <c r="G42" s="4">
        <v>46205</v>
      </c>
      <c r="H42" s="2" t="s">
        <v>2</v>
      </c>
      <c r="I42" s="1" t="s">
        <v>280</v>
      </c>
      <c r="J42" s="2" t="s">
        <v>11</v>
      </c>
      <c r="K42" s="1" t="s">
        <v>14</v>
      </c>
    </row>
    <row r="43" spans="1:11" x14ac:dyDescent="0.25">
      <c r="A43" s="6">
        <v>46230</v>
      </c>
      <c r="B43" s="7" t="s">
        <v>279</v>
      </c>
      <c r="C43" s="7" t="s">
        <v>280</v>
      </c>
      <c r="D43" s="7" t="s">
        <v>56</v>
      </c>
      <c r="F43" s="32" t="s">
        <v>380</v>
      </c>
      <c r="G43" s="32"/>
      <c r="H43" s="32"/>
      <c r="I43" s="32"/>
      <c r="J43" s="32"/>
      <c r="K43" s="32"/>
    </row>
    <row r="44" spans="1:11" x14ac:dyDescent="0.25">
      <c r="A44" s="6">
        <v>46230</v>
      </c>
      <c r="B44" s="7" t="s">
        <v>693</v>
      </c>
      <c r="C44" s="7" t="s">
        <v>280</v>
      </c>
      <c r="D44" s="7" t="s">
        <v>56</v>
      </c>
      <c r="F44" s="32"/>
      <c r="G44" s="32"/>
      <c r="H44" s="32"/>
      <c r="I44" s="32"/>
      <c r="J44" s="32"/>
      <c r="K44" s="32"/>
    </row>
    <row r="45" spans="1:11" x14ac:dyDescent="0.25">
      <c r="A45" s="6">
        <v>46231</v>
      </c>
      <c r="B45" s="7" t="s">
        <v>279</v>
      </c>
      <c r="C45" s="7" t="s">
        <v>280</v>
      </c>
      <c r="D45" s="7" t="s">
        <v>56</v>
      </c>
      <c r="F45" s="32"/>
      <c r="G45" s="32"/>
      <c r="H45" s="32"/>
      <c r="I45" s="32"/>
      <c r="J45" s="32"/>
      <c r="K45" s="32"/>
    </row>
    <row r="46" spans="1:11" x14ac:dyDescent="0.25">
      <c r="A46" s="6">
        <v>46231</v>
      </c>
      <c r="B46" s="7" t="s">
        <v>693</v>
      </c>
      <c r="C46" s="7" t="s">
        <v>280</v>
      </c>
      <c r="D46" s="7" t="s">
        <v>56</v>
      </c>
      <c r="F46" s="2" t="s">
        <v>0</v>
      </c>
      <c r="G46" s="4">
        <v>46206</v>
      </c>
      <c r="H46" s="2" t="s">
        <v>2</v>
      </c>
      <c r="I46" s="1" t="s">
        <v>403</v>
      </c>
      <c r="J46" s="2" t="s">
        <v>11</v>
      </c>
      <c r="K46" s="1" t="s">
        <v>14</v>
      </c>
    </row>
    <row r="47" spans="1:11" ht="14.45" customHeight="1" x14ac:dyDescent="0.25">
      <c r="A47" s="6">
        <v>46232</v>
      </c>
      <c r="B47" s="7" t="s">
        <v>279</v>
      </c>
      <c r="C47" s="7" t="s">
        <v>280</v>
      </c>
      <c r="D47" s="7" t="s">
        <v>56</v>
      </c>
      <c r="F47" s="32" t="s">
        <v>402</v>
      </c>
      <c r="G47" s="32"/>
      <c r="H47" s="32"/>
      <c r="I47" s="32"/>
      <c r="J47" s="32"/>
      <c r="K47" s="32"/>
    </row>
    <row r="48" spans="1:11" x14ac:dyDescent="0.25">
      <c r="A48" s="6">
        <v>46232</v>
      </c>
      <c r="B48" s="7" t="s">
        <v>694</v>
      </c>
      <c r="C48" s="7" t="s">
        <v>280</v>
      </c>
      <c r="D48" s="7" t="s">
        <v>56</v>
      </c>
      <c r="F48" s="32"/>
      <c r="G48" s="32"/>
      <c r="H48" s="32"/>
      <c r="I48" s="32"/>
      <c r="J48" s="32"/>
      <c r="K48" s="32"/>
    </row>
    <row r="49" spans="1:11" x14ac:dyDescent="0.25">
      <c r="A49" s="6">
        <v>46232</v>
      </c>
      <c r="B49" s="7" t="s">
        <v>708</v>
      </c>
      <c r="C49" s="7" t="s">
        <v>9</v>
      </c>
      <c r="D49" s="7" t="s">
        <v>56</v>
      </c>
      <c r="F49" s="32"/>
      <c r="G49" s="32"/>
      <c r="H49" s="32"/>
      <c r="I49" s="32"/>
      <c r="J49" s="32"/>
      <c r="K49" s="32"/>
    </row>
    <row r="50" spans="1:11" x14ac:dyDescent="0.25">
      <c r="A50" s="6">
        <v>46233</v>
      </c>
      <c r="B50" s="7" t="s">
        <v>279</v>
      </c>
      <c r="C50" s="7" t="s">
        <v>280</v>
      </c>
      <c r="D50" s="7" t="s">
        <v>56</v>
      </c>
      <c r="F50" s="32"/>
      <c r="G50" s="32"/>
      <c r="H50" s="32"/>
      <c r="I50" s="32"/>
      <c r="J50" s="32"/>
      <c r="K50" s="32"/>
    </row>
    <row r="51" spans="1:11" x14ac:dyDescent="0.25">
      <c r="A51" s="6">
        <v>46233</v>
      </c>
      <c r="B51" s="7" t="s">
        <v>709</v>
      </c>
      <c r="C51" s="7" t="s">
        <v>710</v>
      </c>
      <c r="D51" s="7" t="s">
        <v>56</v>
      </c>
      <c r="F51" s="32"/>
      <c r="G51" s="32"/>
      <c r="H51" s="32"/>
      <c r="I51" s="32"/>
      <c r="J51" s="32"/>
      <c r="K51" s="32"/>
    </row>
    <row r="52" spans="1:11" x14ac:dyDescent="0.25">
      <c r="A52" s="6">
        <v>46234</v>
      </c>
      <c r="B52" s="7" t="s">
        <v>279</v>
      </c>
      <c r="C52" s="7" t="s">
        <v>280</v>
      </c>
      <c r="D52" s="7" t="s">
        <v>56</v>
      </c>
      <c r="F52" s="32"/>
      <c r="G52" s="32"/>
      <c r="H52" s="32"/>
      <c r="I52" s="32"/>
      <c r="J52" s="32"/>
      <c r="K52" s="32"/>
    </row>
    <row r="53" spans="1:11" x14ac:dyDescent="0.25">
      <c r="A53" s="6">
        <v>46235</v>
      </c>
      <c r="B53" s="7" t="s">
        <v>279</v>
      </c>
      <c r="C53" s="7" t="s">
        <v>280</v>
      </c>
      <c r="D53" s="7" t="s">
        <v>56</v>
      </c>
      <c r="F53" s="32"/>
      <c r="G53" s="32"/>
      <c r="H53" s="32"/>
      <c r="I53" s="32"/>
      <c r="J53" s="32"/>
      <c r="K53" s="32"/>
    </row>
    <row r="54" spans="1:11" x14ac:dyDescent="0.25">
      <c r="A54" s="6">
        <v>46236</v>
      </c>
      <c r="B54" s="7" t="s">
        <v>279</v>
      </c>
      <c r="C54" s="7" t="s">
        <v>280</v>
      </c>
      <c r="D54" s="7" t="s">
        <v>56</v>
      </c>
      <c r="F54" s="32"/>
      <c r="G54" s="32"/>
      <c r="H54" s="32"/>
      <c r="I54" s="32"/>
      <c r="J54" s="32"/>
      <c r="K54" s="32"/>
    </row>
    <row r="55" spans="1:11" x14ac:dyDescent="0.25">
      <c r="A55" s="6">
        <v>46236</v>
      </c>
      <c r="B55" s="7" t="s">
        <v>708</v>
      </c>
      <c r="C55" s="7" t="s">
        <v>716</v>
      </c>
      <c r="D55" s="7" t="s">
        <v>56</v>
      </c>
      <c r="F55" s="32"/>
      <c r="G55" s="32"/>
      <c r="H55" s="32"/>
      <c r="I55" s="32"/>
      <c r="J55" s="32"/>
      <c r="K55" s="32"/>
    </row>
    <row r="56" spans="1:11" x14ac:dyDescent="0.25">
      <c r="A56" s="6">
        <v>46237</v>
      </c>
      <c r="B56" s="7" t="s">
        <v>279</v>
      </c>
      <c r="C56" s="7" t="s">
        <v>280</v>
      </c>
      <c r="D56" s="7" t="s">
        <v>56</v>
      </c>
      <c r="F56" s="32"/>
      <c r="G56" s="32"/>
      <c r="H56" s="32"/>
      <c r="I56" s="32"/>
      <c r="J56" s="32"/>
      <c r="K56" s="32"/>
    </row>
    <row r="57" spans="1:11" x14ac:dyDescent="0.25">
      <c r="A57" s="6">
        <v>46237</v>
      </c>
      <c r="B57" s="7" t="s">
        <v>708</v>
      </c>
      <c r="C57" s="7" t="s">
        <v>22</v>
      </c>
      <c r="D57" s="7" t="s">
        <v>56</v>
      </c>
      <c r="F57" s="2" t="s">
        <v>0</v>
      </c>
      <c r="G57" s="4">
        <v>46207</v>
      </c>
      <c r="H57" s="2" t="s">
        <v>2</v>
      </c>
      <c r="I57" s="1" t="s">
        <v>280</v>
      </c>
      <c r="J57" s="2" t="s">
        <v>11</v>
      </c>
      <c r="K57" s="1" t="s">
        <v>14</v>
      </c>
    </row>
    <row r="58" spans="1:11" x14ac:dyDescent="0.25">
      <c r="A58" s="6">
        <v>46238</v>
      </c>
      <c r="B58" s="7" t="s">
        <v>279</v>
      </c>
      <c r="C58" s="7" t="s">
        <v>280</v>
      </c>
      <c r="D58" s="7" t="s">
        <v>56</v>
      </c>
      <c r="F58" s="32" t="s">
        <v>413</v>
      </c>
      <c r="G58" s="32"/>
      <c r="H58" s="32"/>
      <c r="I58" s="32"/>
      <c r="J58" s="32"/>
      <c r="K58" s="32"/>
    </row>
    <row r="59" spans="1:11" x14ac:dyDescent="0.25">
      <c r="A59" s="6">
        <v>46238</v>
      </c>
      <c r="B59" s="7" t="s">
        <v>708</v>
      </c>
      <c r="C59" s="7" t="s">
        <v>16</v>
      </c>
      <c r="D59" s="7" t="s">
        <v>56</v>
      </c>
      <c r="F59" s="32"/>
      <c r="G59" s="32"/>
      <c r="H59" s="32"/>
      <c r="I59" s="32"/>
      <c r="J59" s="32"/>
      <c r="K59" s="32"/>
    </row>
    <row r="60" spans="1:11" x14ac:dyDescent="0.25">
      <c r="A60" s="6">
        <v>46239</v>
      </c>
      <c r="B60" s="7" t="s">
        <v>279</v>
      </c>
      <c r="C60" s="7" t="s">
        <v>280</v>
      </c>
      <c r="D60" s="7" t="s">
        <v>56</v>
      </c>
      <c r="F60" s="32"/>
      <c r="G60" s="32"/>
      <c r="H60" s="32"/>
      <c r="I60" s="32"/>
      <c r="J60" s="32"/>
      <c r="K60" s="32"/>
    </row>
    <row r="61" spans="1:11" x14ac:dyDescent="0.25">
      <c r="A61" s="6">
        <v>46240</v>
      </c>
      <c r="B61" s="7" t="s">
        <v>279</v>
      </c>
      <c r="C61" s="7" t="s">
        <v>280</v>
      </c>
      <c r="D61" s="7" t="s">
        <v>56</v>
      </c>
      <c r="F61" s="2" t="s">
        <v>0</v>
      </c>
      <c r="G61" s="4">
        <v>46208</v>
      </c>
      <c r="H61" s="2" t="s">
        <v>2</v>
      </c>
      <c r="I61" s="1" t="s">
        <v>280</v>
      </c>
      <c r="J61" s="2" t="s">
        <v>11</v>
      </c>
      <c r="K61" s="1" t="s">
        <v>14</v>
      </c>
    </row>
    <row r="62" spans="1:11" x14ac:dyDescent="0.25">
      <c r="A62" s="6">
        <v>46240</v>
      </c>
      <c r="B62" s="7" t="s">
        <v>778</v>
      </c>
      <c r="C62" s="7" t="s">
        <v>16</v>
      </c>
      <c r="D62" s="7" t="s">
        <v>779</v>
      </c>
      <c r="F62" s="32" t="s">
        <v>429</v>
      </c>
      <c r="G62" s="32"/>
      <c r="H62" s="32"/>
      <c r="I62" s="32"/>
      <c r="J62" s="32"/>
      <c r="K62" s="32"/>
    </row>
    <row r="63" spans="1:11" x14ac:dyDescent="0.25">
      <c r="A63" s="6">
        <v>46241</v>
      </c>
      <c r="B63" s="7" t="s">
        <v>279</v>
      </c>
      <c r="C63" s="7" t="s">
        <v>280</v>
      </c>
      <c r="D63" s="7" t="s">
        <v>56</v>
      </c>
      <c r="F63" s="32"/>
      <c r="G63" s="32"/>
      <c r="H63" s="32"/>
      <c r="I63" s="32"/>
      <c r="J63" s="32"/>
      <c r="K63" s="32"/>
    </row>
    <row r="64" spans="1:11" x14ac:dyDescent="0.25">
      <c r="A64" s="6">
        <v>46241</v>
      </c>
      <c r="B64" s="7" t="s">
        <v>778</v>
      </c>
      <c r="C64" s="7" t="s">
        <v>22</v>
      </c>
      <c r="D64" s="7" t="s">
        <v>812</v>
      </c>
      <c r="F64" s="32"/>
      <c r="G64" s="32"/>
      <c r="H64" s="32"/>
      <c r="I64" s="32"/>
      <c r="J64" s="32"/>
      <c r="K64" s="32"/>
    </row>
    <row r="65" spans="1:11" x14ac:dyDescent="0.25">
      <c r="A65" s="6">
        <v>46242</v>
      </c>
      <c r="B65" s="7" t="s">
        <v>279</v>
      </c>
      <c r="C65" s="7" t="s">
        <v>280</v>
      </c>
      <c r="D65" s="7" t="s">
        <v>56</v>
      </c>
      <c r="F65" s="2" t="s">
        <v>0</v>
      </c>
      <c r="G65" s="4">
        <v>46209</v>
      </c>
      <c r="H65" s="2" t="s">
        <v>2</v>
      </c>
      <c r="I65" s="1" t="s">
        <v>280</v>
      </c>
      <c r="J65" s="2" t="s">
        <v>11</v>
      </c>
      <c r="K65" s="1" t="s">
        <v>14</v>
      </c>
    </row>
    <row r="66" spans="1:11" x14ac:dyDescent="0.25">
      <c r="A66" s="6">
        <v>46243</v>
      </c>
      <c r="B66" s="7" t="s">
        <v>279</v>
      </c>
      <c r="C66" s="7" t="s">
        <v>280</v>
      </c>
      <c r="D66" s="7" t="s">
        <v>56</v>
      </c>
      <c r="F66" s="32" t="s">
        <v>430</v>
      </c>
      <c r="G66" s="32"/>
      <c r="H66" s="32"/>
      <c r="I66" s="32"/>
      <c r="J66" s="32"/>
      <c r="K66" s="32"/>
    </row>
    <row r="67" spans="1:11" x14ac:dyDescent="0.25">
      <c r="A67" s="6">
        <v>46244</v>
      </c>
      <c r="B67" s="7" t="s">
        <v>279</v>
      </c>
      <c r="C67" s="7" t="s">
        <v>280</v>
      </c>
      <c r="D67" s="7" t="s">
        <v>56</v>
      </c>
      <c r="F67" s="32"/>
      <c r="G67" s="32"/>
      <c r="H67" s="32"/>
      <c r="I67" s="32"/>
      <c r="J67" s="32"/>
      <c r="K67" s="32"/>
    </row>
    <row r="68" spans="1:11" x14ac:dyDescent="0.25">
      <c r="A68" s="6">
        <v>46244</v>
      </c>
      <c r="B68" s="7" t="s">
        <v>778</v>
      </c>
      <c r="C68" s="7" t="s">
        <v>22</v>
      </c>
      <c r="D68" s="7" t="s">
        <v>849</v>
      </c>
      <c r="F68" s="32"/>
      <c r="G68" s="32"/>
      <c r="H68" s="32"/>
      <c r="I68" s="32"/>
      <c r="J68" s="32"/>
      <c r="K68" s="32"/>
    </row>
    <row r="69" spans="1:11" x14ac:dyDescent="0.25">
      <c r="A69" s="6">
        <v>46245</v>
      </c>
      <c r="B69" s="7" t="s">
        <v>279</v>
      </c>
      <c r="C69" s="7" t="s">
        <v>280</v>
      </c>
      <c r="D69" s="7" t="s">
        <v>56</v>
      </c>
      <c r="F69" s="2" t="s">
        <v>0</v>
      </c>
      <c r="G69" s="4">
        <v>46210</v>
      </c>
      <c r="H69" s="2" t="s">
        <v>2</v>
      </c>
      <c r="I69" s="1" t="s">
        <v>280</v>
      </c>
      <c r="J69" s="2" t="s">
        <v>11</v>
      </c>
      <c r="K69" s="1" t="s">
        <v>14</v>
      </c>
    </row>
    <row r="70" spans="1:11" ht="14.45" customHeight="1" x14ac:dyDescent="0.25">
      <c r="A70" s="6">
        <v>46245</v>
      </c>
      <c r="B70" s="7" t="s">
        <v>778</v>
      </c>
      <c r="C70" s="7" t="s">
        <v>22</v>
      </c>
      <c r="D70" s="7" t="s">
        <v>858</v>
      </c>
      <c r="F70" s="39" t="s">
        <v>437</v>
      </c>
      <c r="G70" s="40"/>
      <c r="H70" s="40"/>
      <c r="I70" s="40"/>
      <c r="J70" s="40"/>
      <c r="K70" s="41"/>
    </row>
    <row r="71" spans="1:11" x14ac:dyDescent="0.25">
      <c r="A71" s="6">
        <v>46246</v>
      </c>
      <c r="B71" s="7" t="s">
        <v>279</v>
      </c>
      <c r="C71" s="7" t="s">
        <v>280</v>
      </c>
      <c r="D71" s="7" t="s">
        <v>56</v>
      </c>
      <c r="F71" s="42"/>
      <c r="G71" s="43"/>
      <c r="H71" s="43"/>
      <c r="I71" s="43"/>
      <c r="J71" s="43"/>
      <c r="K71" s="44"/>
    </row>
    <row r="72" spans="1:11" x14ac:dyDescent="0.25">
      <c r="A72" s="6">
        <v>46247</v>
      </c>
      <c r="B72" s="7" t="s">
        <v>279</v>
      </c>
      <c r="C72" s="7" t="s">
        <v>280</v>
      </c>
      <c r="D72" s="7" t="s">
        <v>56</v>
      </c>
      <c r="F72" s="2" t="s">
        <v>0</v>
      </c>
      <c r="G72" s="4">
        <v>46212</v>
      </c>
      <c r="H72" s="2" t="s">
        <v>2</v>
      </c>
      <c r="I72" s="1" t="s">
        <v>280</v>
      </c>
      <c r="J72" s="2" t="s">
        <v>11</v>
      </c>
      <c r="K72" s="1" t="s">
        <v>14</v>
      </c>
    </row>
    <row r="73" spans="1:11" ht="14.45" customHeight="1" x14ac:dyDescent="0.25">
      <c r="A73" s="6">
        <v>46248</v>
      </c>
      <c r="B73" s="7" t="s">
        <v>279</v>
      </c>
      <c r="C73" s="7" t="s">
        <v>280</v>
      </c>
      <c r="D73" s="7" t="s">
        <v>56</v>
      </c>
      <c r="F73" s="32" t="s">
        <v>468</v>
      </c>
      <c r="G73" s="32"/>
      <c r="H73" s="32"/>
      <c r="I73" s="32"/>
      <c r="J73" s="32"/>
      <c r="K73" s="32"/>
    </row>
    <row r="74" spans="1:11" x14ac:dyDescent="0.25">
      <c r="A74" s="6">
        <v>46249</v>
      </c>
      <c r="B74" s="7" t="s">
        <v>279</v>
      </c>
      <c r="C74" s="7" t="s">
        <v>280</v>
      </c>
      <c r="D74" s="7" t="s">
        <v>56</v>
      </c>
      <c r="F74" s="32"/>
      <c r="G74" s="32"/>
      <c r="H74" s="32"/>
      <c r="I74" s="32"/>
      <c r="J74" s="32"/>
      <c r="K74" s="32"/>
    </row>
    <row r="75" spans="1:11" x14ac:dyDescent="0.25">
      <c r="A75" s="6">
        <v>46250</v>
      </c>
      <c r="B75" s="7" t="s">
        <v>279</v>
      </c>
      <c r="C75" s="7" t="s">
        <v>280</v>
      </c>
      <c r="D75" s="7" t="s">
        <v>56</v>
      </c>
      <c r="F75" s="32"/>
      <c r="G75" s="32"/>
      <c r="H75" s="32"/>
      <c r="I75" s="32"/>
      <c r="J75" s="32"/>
      <c r="K75" s="32"/>
    </row>
    <row r="76" spans="1:11" x14ac:dyDescent="0.25">
      <c r="A76" s="6">
        <v>46251</v>
      </c>
      <c r="B76" s="7" t="s">
        <v>279</v>
      </c>
      <c r="C76" s="7" t="s">
        <v>280</v>
      </c>
      <c r="D76" s="7" t="s">
        <v>56</v>
      </c>
      <c r="F76" s="32"/>
      <c r="G76" s="32"/>
      <c r="H76" s="32"/>
      <c r="I76" s="32"/>
      <c r="J76" s="32"/>
      <c r="K76" s="32"/>
    </row>
    <row r="77" spans="1:11" x14ac:dyDescent="0.25">
      <c r="A77" s="6">
        <v>46252</v>
      </c>
      <c r="B77" s="7" t="s">
        <v>279</v>
      </c>
      <c r="C77" s="7" t="s">
        <v>280</v>
      </c>
      <c r="D77" s="7" t="s">
        <v>56</v>
      </c>
      <c r="F77" s="32"/>
      <c r="G77" s="32"/>
      <c r="H77" s="32"/>
      <c r="I77" s="32"/>
      <c r="J77" s="32"/>
      <c r="K77" s="32"/>
    </row>
    <row r="78" spans="1:11" x14ac:dyDescent="0.25">
      <c r="A78" s="6">
        <v>46253</v>
      </c>
      <c r="B78" s="7" t="s">
        <v>279</v>
      </c>
      <c r="C78" s="7" t="s">
        <v>280</v>
      </c>
      <c r="D78" s="7" t="s">
        <v>56</v>
      </c>
      <c r="F78" s="2" t="s">
        <v>0</v>
      </c>
      <c r="G78" s="4">
        <v>46213</v>
      </c>
      <c r="H78" s="2" t="s">
        <v>2</v>
      </c>
      <c r="I78" s="1" t="s">
        <v>280</v>
      </c>
      <c r="J78" s="2" t="s">
        <v>11</v>
      </c>
      <c r="K78" s="1" t="s">
        <v>14</v>
      </c>
    </row>
    <row r="79" spans="1:11" ht="14.45" customHeight="1" x14ac:dyDescent="0.25">
      <c r="A79" s="6">
        <v>46254</v>
      </c>
      <c r="B79" s="7" t="s">
        <v>279</v>
      </c>
      <c r="C79" s="7" t="s">
        <v>280</v>
      </c>
      <c r="D79" s="7" t="s">
        <v>56</v>
      </c>
      <c r="F79" s="32" t="s">
        <v>476</v>
      </c>
      <c r="G79" s="32"/>
      <c r="H79" s="32"/>
      <c r="I79" s="32"/>
      <c r="J79" s="32"/>
      <c r="K79" s="32"/>
    </row>
    <row r="80" spans="1:11" x14ac:dyDescent="0.25">
      <c r="A80" s="6">
        <v>46256</v>
      </c>
      <c r="B80" s="7" t="s">
        <v>279</v>
      </c>
      <c r="C80" s="7" t="s">
        <v>47</v>
      </c>
      <c r="D80" s="7" t="s">
        <v>56</v>
      </c>
      <c r="F80" s="32"/>
      <c r="G80" s="32"/>
      <c r="H80" s="32"/>
      <c r="I80" s="32"/>
      <c r="J80" s="32"/>
      <c r="K80" s="32"/>
    </row>
    <row r="81" spans="1:11" x14ac:dyDescent="0.25">
      <c r="A81" s="6">
        <v>46257</v>
      </c>
      <c r="B81" s="7" t="s">
        <v>279</v>
      </c>
      <c r="C81" s="7" t="s">
        <v>47</v>
      </c>
      <c r="D81" s="7" t="s">
        <v>56</v>
      </c>
      <c r="F81" s="32"/>
      <c r="G81" s="32"/>
      <c r="H81" s="32"/>
      <c r="I81" s="32"/>
      <c r="J81" s="32"/>
      <c r="K81" s="32"/>
    </row>
    <row r="82" spans="1:11" x14ac:dyDescent="0.25">
      <c r="A82" s="6">
        <v>46257</v>
      </c>
      <c r="B82" s="7" t="s">
        <v>968</v>
      </c>
      <c r="C82" s="7" t="s">
        <v>47</v>
      </c>
      <c r="D82" s="7" t="s">
        <v>969</v>
      </c>
      <c r="F82" s="2" t="s">
        <v>0</v>
      </c>
      <c r="G82" s="4">
        <v>46214</v>
      </c>
      <c r="H82" s="2" t="s">
        <v>2</v>
      </c>
      <c r="I82" s="1" t="s">
        <v>280</v>
      </c>
      <c r="J82" s="2" t="s">
        <v>11</v>
      </c>
      <c r="K82" s="1" t="s">
        <v>14</v>
      </c>
    </row>
    <row r="83" spans="1:11" x14ac:dyDescent="0.25">
      <c r="A83" s="6">
        <v>46258</v>
      </c>
      <c r="B83" s="7" t="s">
        <v>279</v>
      </c>
      <c r="C83" s="7" t="s">
        <v>47</v>
      </c>
      <c r="D83" s="7" t="s">
        <v>56</v>
      </c>
      <c r="F83" s="32" t="s">
        <v>487</v>
      </c>
      <c r="G83" s="32"/>
      <c r="H83" s="32"/>
      <c r="I83" s="32"/>
      <c r="J83" s="32"/>
      <c r="K83" s="32"/>
    </row>
    <row r="84" spans="1:11" x14ac:dyDescent="0.25">
      <c r="A84" s="6">
        <v>46259</v>
      </c>
      <c r="B84" s="7" t="s">
        <v>279</v>
      </c>
      <c r="C84" s="7" t="s">
        <v>15</v>
      </c>
      <c r="D84" s="7" t="s">
        <v>56</v>
      </c>
      <c r="F84" s="32"/>
      <c r="G84" s="32"/>
      <c r="H84" s="32"/>
      <c r="I84" s="32"/>
      <c r="J84" s="32"/>
      <c r="K84" s="32"/>
    </row>
    <row r="85" spans="1:11" x14ac:dyDescent="0.25">
      <c r="A85" s="6">
        <v>46260</v>
      </c>
      <c r="B85" s="7" t="s">
        <v>279</v>
      </c>
      <c r="C85" s="7" t="s">
        <v>22</v>
      </c>
      <c r="D85" s="7" t="s">
        <v>56</v>
      </c>
      <c r="F85" s="32"/>
      <c r="G85" s="32"/>
      <c r="H85" s="32"/>
      <c r="I85" s="32"/>
      <c r="J85" s="32"/>
      <c r="K85" s="32"/>
    </row>
    <row r="86" spans="1:11" x14ac:dyDescent="0.25">
      <c r="A86" s="6">
        <v>46260</v>
      </c>
      <c r="B86" s="7" t="s">
        <v>589</v>
      </c>
      <c r="C86" s="7" t="s">
        <v>16</v>
      </c>
      <c r="D86" s="7" t="s">
        <v>56</v>
      </c>
      <c r="F86" s="2" t="s">
        <v>0</v>
      </c>
      <c r="G86" s="4">
        <v>46215</v>
      </c>
      <c r="H86" s="2" t="s">
        <v>2</v>
      </c>
      <c r="I86" s="1" t="s">
        <v>280</v>
      </c>
      <c r="J86" s="2" t="s">
        <v>11</v>
      </c>
      <c r="K86" s="1" t="s">
        <v>14</v>
      </c>
    </row>
    <row r="87" spans="1:11" x14ac:dyDescent="0.25">
      <c r="A87" s="6">
        <v>46261</v>
      </c>
      <c r="B87" s="7" t="s">
        <v>279</v>
      </c>
      <c r="C87" s="7" t="s">
        <v>22</v>
      </c>
      <c r="D87" s="7" t="s">
        <v>56</v>
      </c>
      <c r="F87" s="32" t="s">
        <v>507</v>
      </c>
      <c r="G87" s="32"/>
      <c r="H87" s="32"/>
      <c r="I87" s="32"/>
      <c r="J87" s="32"/>
      <c r="K87" s="32"/>
    </row>
    <row r="88" spans="1:11" x14ac:dyDescent="0.25">
      <c r="A88" s="6">
        <v>46261</v>
      </c>
      <c r="B88" s="7" t="s">
        <v>589</v>
      </c>
      <c r="C88" s="7" t="s">
        <v>16</v>
      </c>
      <c r="D88" s="7" t="s">
        <v>56</v>
      </c>
      <c r="F88" s="32"/>
      <c r="G88" s="32"/>
      <c r="H88" s="32"/>
      <c r="I88" s="32"/>
      <c r="J88" s="32"/>
      <c r="K88" s="32"/>
    </row>
    <row r="89" spans="1:11" x14ac:dyDescent="0.25">
      <c r="A89" s="6">
        <v>46262</v>
      </c>
      <c r="B89" s="7" t="s">
        <v>279</v>
      </c>
      <c r="C89" s="7" t="s">
        <v>588</v>
      </c>
      <c r="D89" s="7" t="s">
        <v>56</v>
      </c>
      <c r="F89" s="32"/>
      <c r="G89" s="32"/>
      <c r="H89" s="32"/>
      <c r="I89" s="32"/>
      <c r="J89" s="32"/>
      <c r="K89" s="32"/>
    </row>
    <row r="90" spans="1:11" x14ac:dyDescent="0.25">
      <c r="A90" s="6">
        <v>46263</v>
      </c>
      <c r="B90" s="7" t="s">
        <v>279</v>
      </c>
      <c r="C90" s="7" t="s">
        <v>588</v>
      </c>
      <c r="D90" s="7" t="s">
        <v>56</v>
      </c>
      <c r="F90" s="2" t="s">
        <v>0</v>
      </c>
      <c r="G90" s="4">
        <v>46216</v>
      </c>
      <c r="H90" s="2" t="s">
        <v>2</v>
      </c>
      <c r="I90" s="1" t="s">
        <v>280</v>
      </c>
      <c r="J90" s="2" t="s">
        <v>11</v>
      </c>
      <c r="K90" s="1" t="s">
        <v>14</v>
      </c>
    </row>
    <row r="91" spans="1:11" x14ac:dyDescent="0.25">
      <c r="A91" s="6">
        <v>46263</v>
      </c>
      <c r="B91" s="7" t="s">
        <v>589</v>
      </c>
      <c r="C91" s="7" t="s">
        <v>16</v>
      </c>
      <c r="D91" s="7" t="s">
        <v>56</v>
      </c>
      <c r="F91" s="32" t="s">
        <v>512</v>
      </c>
      <c r="G91" s="32"/>
      <c r="H91" s="32"/>
      <c r="I91" s="32"/>
      <c r="J91" s="32"/>
      <c r="K91" s="32"/>
    </row>
    <row r="92" spans="1:11" x14ac:dyDescent="0.25">
      <c r="A92" s="6">
        <v>46264</v>
      </c>
      <c r="B92" s="7" t="s">
        <v>279</v>
      </c>
      <c r="C92" s="7" t="s">
        <v>588</v>
      </c>
      <c r="D92" s="7" t="s">
        <v>56</v>
      </c>
      <c r="F92" s="32"/>
      <c r="G92" s="32"/>
      <c r="H92" s="32"/>
      <c r="I92" s="32"/>
      <c r="J92" s="32"/>
      <c r="K92" s="32"/>
    </row>
    <row r="93" spans="1:11" x14ac:dyDescent="0.25">
      <c r="A93" s="6">
        <v>46265</v>
      </c>
      <c r="B93" s="7" t="s">
        <v>279</v>
      </c>
      <c r="C93" s="7" t="s">
        <v>588</v>
      </c>
      <c r="D93" s="7" t="s">
        <v>56</v>
      </c>
      <c r="F93" s="32"/>
      <c r="G93" s="32"/>
      <c r="H93" s="32"/>
      <c r="I93" s="32"/>
      <c r="J93" s="32"/>
      <c r="K93" s="32"/>
    </row>
    <row r="94" spans="1:11" x14ac:dyDescent="0.25">
      <c r="A94" s="6">
        <v>46266</v>
      </c>
      <c r="B94" s="7" t="s">
        <v>279</v>
      </c>
      <c r="C94" s="7" t="s">
        <v>588</v>
      </c>
      <c r="D94" s="7" t="s">
        <v>56</v>
      </c>
      <c r="F94" s="2" t="s">
        <v>0</v>
      </c>
      <c r="G94" s="4">
        <v>46216</v>
      </c>
      <c r="H94" s="2" t="s">
        <v>2</v>
      </c>
      <c r="I94" s="1" t="s">
        <v>35</v>
      </c>
      <c r="J94" s="2" t="s">
        <v>11</v>
      </c>
      <c r="K94" s="1" t="s">
        <v>14</v>
      </c>
    </row>
    <row r="95" spans="1:11" ht="14.45" customHeight="1" x14ac:dyDescent="0.25">
      <c r="A95" s="6">
        <v>46266</v>
      </c>
      <c r="B95" s="7" t="s">
        <v>589</v>
      </c>
      <c r="C95" s="7" t="s">
        <v>588</v>
      </c>
      <c r="D95" s="7" t="s">
        <v>56</v>
      </c>
      <c r="F95" s="32" t="s">
        <v>515</v>
      </c>
      <c r="G95" s="32"/>
      <c r="H95" s="32"/>
      <c r="I95" s="32"/>
      <c r="J95" s="32"/>
      <c r="K95" s="32"/>
    </row>
    <row r="96" spans="1:11" x14ac:dyDescent="0.25">
      <c r="A96" s="6">
        <v>46267</v>
      </c>
      <c r="B96" s="7" t="s">
        <v>279</v>
      </c>
      <c r="C96" s="7" t="s">
        <v>588</v>
      </c>
      <c r="D96" s="7" t="s">
        <v>56</v>
      </c>
      <c r="F96" s="32"/>
      <c r="G96" s="32"/>
      <c r="H96" s="32"/>
      <c r="I96" s="32"/>
      <c r="J96" s="32"/>
      <c r="K96" s="32"/>
    </row>
    <row r="97" spans="1:11" x14ac:dyDescent="0.25">
      <c r="A97" s="6">
        <v>46267</v>
      </c>
      <c r="B97" s="7" t="s">
        <v>589</v>
      </c>
      <c r="C97" s="7" t="s">
        <v>588</v>
      </c>
      <c r="D97" s="7" t="s">
        <v>56</v>
      </c>
      <c r="F97" s="32"/>
      <c r="G97" s="32"/>
      <c r="H97" s="32"/>
      <c r="I97" s="32"/>
      <c r="J97" s="32"/>
      <c r="K97" s="32"/>
    </row>
    <row r="98" spans="1:11" x14ac:dyDescent="0.25">
      <c r="A98" s="6">
        <v>46271</v>
      </c>
      <c r="B98" s="7" t="s">
        <v>279</v>
      </c>
      <c r="C98" s="7" t="s">
        <v>588</v>
      </c>
      <c r="D98" s="7" t="s">
        <v>56</v>
      </c>
      <c r="F98" s="32"/>
      <c r="G98" s="32"/>
      <c r="H98" s="32"/>
      <c r="I98" s="32"/>
      <c r="J98" s="32"/>
      <c r="K98" s="32"/>
    </row>
    <row r="99" spans="1:11" x14ac:dyDescent="0.25">
      <c r="A99" s="6">
        <v>46272</v>
      </c>
      <c r="B99" s="7" t="s">
        <v>279</v>
      </c>
      <c r="C99" s="7" t="s">
        <v>588</v>
      </c>
      <c r="D99" s="7" t="s">
        <v>56</v>
      </c>
      <c r="F99" s="32"/>
      <c r="G99" s="32"/>
      <c r="H99" s="32"/>
      <c r="I99" s="32"/>
      <c r="J99" s="32"/>
      <c r="K99" s="32"/>
    </row>
    <row r="100" spans="1:11" x14ac:dyDescent="0.25">
      <c r="A100" s="6">
        <v>46273</v>
      </c>
      <c r="B100" s="7" t="s">
        <v>279</v>
      </c>
      <c r="C100" s="7" t="s">
        <v>588</v>
      </c>
      <c r="D100" s="7" t="s">
        <v>56</v>
      </c>
      <c r="F100" s="2" t="s">
        <v>0</v>
      </c>
      <c r="G100" s="4">
        <v>46217</v>
      </c>
      <c r="H100" s="2" t="s">
        <v>2</v>
      </c>
      <c r="I100" s="1" t="s">
        <v>280</v>
      </c>
      <c r="J100" s="2" t="s">
        <v>11</v>
      </c>
      <c r="K100" s="1" t="s">
        <v>14</v>
      </c>
    </row>
    <row r="101" spans="1:11" x14ac:dyDescent="0.25">
      <c r="A101" s="6">
        <v>46274</v>
      </c>
      <c r="B101" s="7" t="s">
        <v>279</v>
      </c>
      <c r="C101" s="7" t="s">
        <v>588</v>
      </c>
      <c r="D101" s="7" t="s">
        <v>56</v>
      </c>
      <c r="F101" s="32" t="s">
        <v>513</v>
      </c>
      <c r="G101" s="32"/>
      <c r="H101" s="32"/>
      <c r="I101" s="32"/>
      <c r="J101" s="32"/>
      <c r="K101" s="32"/>
    </row>
    <row r="102" spans="1:11" x14ac:dyDescent="0.25">
      <c r="A102" s="6">
        <v>46275</v>
      </c>
      <c r="B102" s="7" t="s">
        <v>279</v>
      </c>
      <c r="C102" s="7" t="s">
        <v>588</v>
      </c>
      <c r="D102" s="7" t="s">
        <v>56</v>
      </c>
      <c r="F102" s="32"/>
      <c r="G102" s="32"/>
      <c r="H102" s="32"/>
      <c r="I102" s="32"/>
      <c r="J102" s="32"/>
      <c r="K102" s="32"/>
    </row>
    <row r="103" spans="1:11" x14ac:dyDescent="0.25">
      <c r="A103" s="6">
        <v>46276</v>
      </c>
      <c r="B103" s="7" t="s">
        <v>279</v>
      </c>
      <c r="C103" s="7" t="s">
        <v>588</v>
      </c>
      <c r="D103" s="7" t="s">
        <v>56</v>
      </c>
      <c r="F103" s="32"/>
      <c r="G103" s="32"/>
      <c r="H103" s="32"/>
      <c r="I103" s="32"/>
      <c r="J103" s="32"/>
      <c r="K103" s="32"/>
    </row>
    <row r="104" spans="1:11" x14ac:dyDescent="0.25">
      <c r="A104" s="6">
        <v>46277</v>
      </c>
      <c r="B104" s="7" t="s">
        <v>279</v>
      </c>
      <c r="C104" s="7" t="s">
        <v>588</v>
      </c>
      <c r="D104" s="7" t="s">
        <v>56</v>
      </c>
      <c r="F104" s="2" t="s">
        <v>0</v>
      </c>
      <c r="G104" s="4">
        <v>46218</v>
      </c>
      <c r="H104" s="2" t="s">
        <v>2</v>
      </c>
      <c r="I104" s="1" t="s">
        <v>521</v>
      </c>
      <c r="J104" s="2" t="s">
        <v>11</v>
      </c>
      <c r="K104" s="1" t="s">
        <v>14</v>
      </c>
    </row>
    <row r="105" spans="1:11" x14ac:dyDescent="0.25">
      <c r="A105" s="6">
        <v>46278</v>
      </c>
      <c r="B105" s="7" t="s">
        <v>279</v>
      </c>
      <c r="C105" s="7" t="s">
        <v>588</v>
      </c>
      <c r="D105" s="7" t="s">
        <v>56</v>
      </c>
      <c r="F105" s="32" t="s">
        <v>522</v>
      </c>
      <c r="G105" s="32"/>
      <c r="H105" s="32"/>
      <c r="I105" s="32"/>
      <c r="J105" s="32"/>
      <c r="K105" s="32"/>
    </row>
    <row r="106" spans="1:11" x14ac:dyDescent="0.25">
      <c r="A106" s="6">
        <v>46279</v>
      </c>
      <c r="B106" s="7" t="s">
        <v>279</v>
      </c>
      <c r="C106" s="7" t="s">
        <v>588</v>
      </c>
      <c r="D106" s="7" t="s">
        <v>56</v>
      </c>
      <c r="F106" s="32"/>
      <c r="G106" s="32"/>
      <c r="H106" s="32"/>
      <c r="I106" s="32"/>
      <c r="J106" s="32"/>
      <c r="K106" s="32"/>
    </row>
    <row r="107" spans="1:11" x14ac:dyDescent="0.25">
      <c r="A107" s="6">
        <v>46280</v>
      </c>
      <c r="B107" s="7" t="s">
        <v>279</v>
      </c>
      <c r="C107" s="7" t="s">
        <v>588</v>
      </c>
      <c r="D107" s="7" t="s">
        <v>56</v>
      </c>
      <c r="F107" s="32"/>
      <c r="G107" s="32"/>
      <c r="H107" s="32"/>
      <c r="I107" s="32"/>
      <c r="J107" s="32"/>
      <c r="K107" s="32"/>
    </row>
    <row r="108" spans="1:11" x14ac:dyDescent="0.25">
      <c r="A108" s="6">
        <v>46281</v>
      </c>
      <c r="B108" s="7" t="s">
        <v>279</v>
      </c>
      <c r="C108" s="7" t="s">
        <v>588</v>
      </c>
      <c r="D108" s="7" t="s">
        <v>56</v>
      </c>
      <c r="F108" s="2" t="s">
        <v>0</v>
      </c>
      <c r="G108" s="4">
        <v>46219</v>
      </c>
      <c r="H108" s="2" t="s">
        <v>2</v>
      </c>
      <c r="I108" s="1" t="s">
        <v>280</v>
      </c>
      <c r="J108" s="2" t="s">
        <v>11</v>
      </c>
      <c r="K108" s="1" t="s">
        <v>14</v>
      </c>
    </row>
    <row r="109" spans="1:11" x14ac:dyDescent="0.25">
      <c r="A109" s="6">
        <v>46283</v>
      </c>
      <c r="B109" s="7" t="s">
        <v>279</v>
      </c>
      <c r="C109" s="7" t="s">
        <v>588</v>
      </c>
      <c r="D109" s="7" t="s">
        <v>56</v>
      </c>
      <c r="F109" s="32" t="s">
        <v>519</v>
      </c>
      <c r="G109" s="32"/>
      <c r="H109" s="32"/>
      <c r="I109" s="32"/>
      <c r="J109" s="32"/>
      <c r="K109" s="32"/>
    </row>
    <row r="110" spans="1:11" x14ac:dyDescent="0.25">
      <c r="A110" s="6">
        <v>46284</v>
      </c>
      <c r="B110" s="7" t="s">
        <v>589</v>
      </c>
      <c r="C110" s="7" t="s">
        <v>588</v>
      </c>
      <c r="D110" s="7" t="s">
        <v>1201</v>
      </c>
      <c r="F110" s="32"/>
      <c r="G110" s="32"/>
      <c r="H110" s="32"/>
      <c r="I110" s="32"/>
      <c r="J110" s="32"/>
      <c r="K110" s="32"/>
    </row>
    <row r="111" spans="1:11" x14ac:dyDescent="0.25">
      <c r="A111" s="6">
        <v>46285</v>
      </c>
      <c r="B111" s="7" t="s">
        <v>589</v>
      </c>
      <c r="C111" s="7" t="s">
        <v>588</v>
      </c>
      <c r="D111" s="7" t="s">
        <v>1201</v>
      </c>
      <c r="F111" s="32"/>
      <c r="G111" s="32"/>
      <c r="H111" s="32"/>
      <c r="I111" s="32"/>
      <c r="J111" s="32"/>
      <c r="K111" s="32"/>
    </row>
    <row r="112" spans="1:11" x14ac:dyDescent="0.25">
      <c r="A112" s="6">
        <v>46286</v>
      </c>
      <c r="F112" s="2" t="s">
        <v>0</v>
      </c>
      <c r="G112" s="4">
        <v>46220</v>
      </c>
      <c r="H112" s="2" t="s">
        <v>2</v>
      </c>
      <c r="I112" s="1" t="s">
        <v>280</v>
      </c>
      <c r="J112" s="2" t="s">
        <v>11</v>
      </c>
      <c r="K112" s="1" t="s">
        <v>14</v>
      </c>
    </row>
    <row r="113" spans="6:11" x14ac:dyDescent="0.25">
      <c r="F113" s="32" t="s">
        <v>541</v>
      </c>
      <c r="G113" s="32"/>
      <c r="H113" s="32"/>
      <c r="I113" s="32"/>
      <c r="J113" s="32"/>
      <c r="K113" s="32"/>
    </row>
    <row r="114" spans="6:11" x14ac:dyDescent="0.25">
      <c r="F114" s="32"/>
      <c r="G114" s="32"/>
      <c r="H114" s="32"/>
      <c r="I114" s="32"/>
      <c r="J114" s="32"/>
      <c r="K114" s="32"/>
    </row>
    <row r="115" spans="6:11" x14ac:dyDescent="0.25">
      <c r="F115" s="32"/>
      <c r="G115" s="32"/>
      <c r="H115" s="32"/>
      <c r="I115" s="32"/>
      <c r="J115" s="32"/>
      <c r="K115" s="32"/>
    </row>
    <row r="116" spans="6:11" x14ac:dyDescent="0.25">
      <c r="F116" s="2" t="s">
        <v>0</v>
      </c>
      <c r="G116" s="4">
        <v>46221</v>
      </c>
      <c r="H116" s="2" t="s">
        <v>2</v>
      </c>
      <c r="I116" s="1" t="s">
        <v>280</v>
      </c>
      <c r="J116" s="2" t="s">
        <v>11</v>
      </c>
      <c r="K116" s="1" t="s">
        <v>14</v>
      </c>
    </row>
    <row r="117" spans="6:11" x14ac:dyDescent="0.25">
      <c r="F117" s="32" t="s">
        <v>542</v>
      </c>
      <c r="G117" s="32"/>
      <c r="H117" s="32"/>
      <c r="I117" s="32"/>
      <c r="J117" s="32"/>
      <c r="K117" s="32"/>
    </row>
    <row r="118" spans="6:11" x14ac:dyDescent="0.25">
      <c r="F118" s="32"/>
      <c r="G118" s="32"/>
      <c r="H118" s="32"/>
      <c r="I118" s="32"/>
      <c r="J118" s="32"/>
      <c r="K118" s="32"/>
    </row>
    <row r="119" spans="6:11" x14ac:dyDescent="0.25">
      <c r="F119" s="32"/>
      <c r="G119" s="32"/>
      <c r="H119" s="32"/>
      <c r="I119" s="32"/>
      <c r="J119" s="32"/>
      <c r="K119" s="32"/>
    </row>
    <row r="120" spans="6:11" x14ac:dyDescent="0.25">
      <c r="F120" s="2" t="s">
        <v>0</v>
      </c>
      <c r="G120" s="4">
        <v>46222</v>
      </c>
      <c r="H120" s="2" t="s">
        <v>2</v>
      </c>
      <c r="I120" s="1" t="s">
        <v>280</v>
      </c>
      <c r="J120" s="2" t="s">
        <v>11</v>
      </c>
      <c r="K120" s="1" t="s">
        <v>14</v>
      </c>
    </row>
    <row r="121" spans="6:11" x14ac:dyDescent="0.25">
      <c r="F121" s="32" t="s">
        <v>546</v>
      </c>
      <c r="G121" s="32"/>
      <c r="H121" s="32"/>
      <c r="I121" s="32"/>
      <c r="J121" s="32"/>
      <c r="K121" s="32"/>
    </row>
    <row r="122" spans="6:11" x14ac:dyDescent="0.25">
      <c r="F122" s="32"/>
      <c r="G122" s="32"/>
      <c r="H122" s="32"/>
      <c r="I122" s="32"/>
      <c r="J122" s="32"/>
      <c r="K122" s="32"/>
    </row>
    <row r="123" spans="6:11" x14ac:dyDescent="0.25">
      <c r="F123" s="32"/>
      <c r="G123" s="32"/>
      <c r="H123" s="32"/>
      <c r="I123" s="32"/>
      <c r="J123" s="32"/>
      <c r="K123" s="32"/>
    </row>
    <row r="124" spans="6:11" x14ac:dyDescent="0.25">
      <c r="F124" s="2" t="s">
        <v>0</v>
      </c>
      <c r="G124" s="4">
        <v>46223</v>
      </c>
      <c r="H124" s="2" t="s">
        <v>2</v>
      </c>
      <c r="I124" s="1" t="s">
        <v>280</v>
      </c>
      <c r="J124" s="2" t="s">
        <v>11</v>
      </c>
      <c r="K124" s="1" t="s">
        <v>14</v>
      </c>
    </row>
    <row r="125" spans="6:11" x14ac:dyDescent="0.25">
      <c r="F125" s="32" t="s">
        <v>547</v>
      </c>
      <c r="G125" s="32"/>
      <c r="H125" s="32"/>
      <c r="I125" s="32"/>
      <c r="J125" s="32"/>
      <c r="K125" s="32"/>
    </row>
    <row r="126" spans="6:11" x14ac:dyDescent="0.25">
      <c r="F126" s="32"/>
      <c r="G126" s="32"/>
      <c r="H126" s="32"/>
      <c r="I126" s="32"/>
      <c r="J126" s="32"/>
      <c r="K126" s="32"/>
    </row>
    <row r="127" spans="6:11" x14ac:dyDescent="0.25">
      <c r="F127" s="32"/>
      <c r="G127" s="32"/>
      <c r="H127" s="32"/>
      <c r="I127" s="32"/>
      <c r="J127" s="32"/>
      <c r="K127" s="32"/>
    </row>
    <row r="128" spans="6:11" x14ac:dyDescent="0.25">
      <c r="F128" s="2" t="s">
        <v>0</v>
      </c>
      <c r="G128" s="4">
        <v>46224</v>
      </c>
      <c r="H128" s="2" t="s">
        <v>2</v>
      </c>
      <c r="I128" s="1" t="s">
        <v>280</v>
      </c>
      <c r="J128" s="2" t="s">
        <v>11</v>
      </c>
      <c r="K128" s="1" t="s">
        <v>14</v>
      </c>
    </row>
    <row r="129" spans="6:11" x14ac:dyDescent="0.25">
      <c r="F129" s="32" t="s">
        <v>572</v>
      </c>
      <c r="G129" s="32"/>
      <c r="H129" s="32"/>
      <c r="I129" s="32"/>
      <c r="J129" s="32"/>
      <c r="K129" s="32"/>
    </row>
    <row r="130" spans="6:11" x14ac:dyDescent="0.25">
      <c r="F130" s="32"/>
      <c r="G130" s="32"/>
      <c r="H130" s="32"/>
      <c r="I130" s="32"/>
      <c r="J130" s="32"/>
      <c r="K130" s="32"/>
    </row>
    <row r="131" spans="6:11" x14ac:dyDescent="0.25">
      <c r="F131" s="32"/>
      <c r="G131" s="32"/>
      <c r="H131" s="32"/>
      <c r="I131" s="32"/>
      <c r="J131" s="32"/>
      <c r="K131" s="32"/>
    </row>
    <row r="132" spans="6:11" x14ac:dyDescent="0.25">
      <c r="F132" s="2" t="s">
        <v>0</v>
      </c>
      <c r="G132" s="4">
        <v>46225</v>
      </c>
      <c r="H132" s="2" t="s">
        <v>2</v>
      </c>
      <c r="I132" s="1" t="s">
        <v>588</v>
      </c>
      <c r="J132" s="2" t="s">
        <v>11</v>
      </c>
      <c r="K132" s="1" t="s">
        <v>14</v>
      </c>
    </row>
    <row r="133" spans="6:11" x14ac:dyDescent="0.25">
      <c r="F133" s="32" t="s">
        <v>591</v>
      </c>
      <c r="G133" s="32"/>
      <c r="H133" s="32"/>
      <c r="I133" s="32"/>
      <c r="J133" s="32"/>
      <c r="K133" s="32"/>
    </row>
    <row r="134" spans="6:11" x14ac:dyDescent="0.25">
      <c r="F134" s="32"/>
      <c r="G134" s="32"/>
      <c r="H134" s="32"/>
      <c r="I134" s="32"/>
      <c r="J134" s="32"/>
      <c r="K134" s="32"/>
    </row>
    <row r="135" spans="6:11" x14ac:dyDescent="0.25">
      <c r="F135" s="32"/>
      <c r="G135" s="32"/>
      <c r="H135" s="32"/>
      <c r="I135" s="32"/>
      <c r="J135" s="32"/>
      <c r="K135" s="32"/>
    </row>
    <row r="136" spans="6:11" x14ac:dyDescent="0.25">
      <c r="F136" s="32"/>
      <c r="G136" s="32"/>
      <c r="H136" s="32"/>
      <c r="I136" s="32"/>
      <c r="J136" s="32"/>
      <c r="K136" s="32"/>
    </row>
    <row r="137" spans="6:11" x14ac:dyDescent="0.25">
      <c r="F137" s="32"/>
      <c r="G137" s="32"/>
      <c r="H137" s="32"/>
      <c r="I137" s="32"/>
      <c r="J137" s="32"/>
      <c r="K137" s="32"/>
    </row>
    <row r="138" spans="6:11" x14ac:dyDescent="0.25">
      <c r="F138" s="32"/>
      <c r="G138" s="32"/>
      <c r="H138" s="32"/>
      <c r="I138" s="32"/>
      <c r="J138" s="32"/>
      <c r="K138" s="32"/>
    </row>
    <row r="139" spans="6:11" x14ac:dyDescent="0.25">
      <c r="F139" s="32"/>
      <c r="G139" s="32"/>
      <c r="H139" s="32"/>
      <c r="I139" s="32"/>
      <c r="J139" s="32"/>
      <c r="K139" s="32"/>
    </row>
    <row r="140" spans="6:11" x14ac:dyDescent="0.25">
      <c r="F140" s="32"/>
      <c r="G140" s="32"/>
      <c r="H140" s="32"/>
      <c r="I140" s="32"/>
      <c r="J140" s="32"/>
      <c r="K140" s="32"/>
    </row>
    <row r="141" spans="6:11" x14ac:dyDescent="0.25">
      <c r="F141" s="32"/>
      <c r="G141" s="32"/>
      <c r="H141" s="32"/>
      <c r="I141" s="32"/>
      <c r="J141" s="32"/>
      <c r="K141" s="32"/>
    </row>
    <row r="142" spans="6:11" x14ac:dyDescent="0.25">
      <c r="F142" s="32"/>
      <c r="G142" s="32"/>
      <c r="H142" s="32"/>
      <c r="I142" s="32"/>
      <c r="J142" s="32"/>
      <c r="K142" s="32"/>
    </row>
    <row r="143" spans="6:11" x14ac:dyDescent="0.25">
      <c r="F143" s="2" t="s">
        <v>0</v>
      </c>
      <c r="G143" s="4">
        <v>46226</v>
      </c>
      <c r="H143" s="2" t="s">
        <v>2</v>
      </c>
      <c r="I143" s="1" t="s">
        <v>280</v>
      </c>
      <c r="J143" s="2" t="s">
        <v>11</v>
      </c>
      <c r="K143" s="1" t="s">
        <v>14</v>
      </c>
    </row>
    <row r="144" spans="6:11" x14ac:dyDescent="0.25">
      <c r="F144" s="32" t="s">
        <v>610</v>
      </c>
      <c r="G144" s="32"/>
      <c r="H144" s="32"/>
      <c r="I144" s="32"/>
      <c r="J144" s="32"/>
      <c r="K144" s="32"/>
    </row>
    <row r="145" spans="6:11" x14ac:dyDescent="0.25">
      <c r="F145" s="32"/>
      <c r="G145" s="32"/>
      <c r="H145" s="32"/>
      <c r="I145" s="32"/>
      <c r="J145" s="32"/>
      <c r="K145" s="32"/>
    </row>
    <row r="146" spans="6:11" x14ac:dyDescent="0.25">
      <c r="F146" s="32"/>
      <c r="G146" s="32"/>
      <c r="H146" s="32"/>
      <c r="I146" s="32"/>
      <c r="J146" s="32"/>
      <c r="K146" s="32"/>
    </row>
    <row r="147" spans="6:11" x14ac:dyDescent="0.25">
      <c r="F147" s="2" t="s">
        <v>0</v>
      </c>
      <c r="G147" s="4">
        <v>46226</v>
      </c>
      <c r="H147" s="2" t="s">
        <v>2</v>
      </c>
      <c r="I147" s="1" t="s">
        <v>47</v>
      </c>
      <c r="J147" s="2" t="s">
        <v>11</v>
      </c>
      <c r="K147" s="1" t="s">
        <v>14</v>
      </c>
    </row>
    <row r="148" spans="6:11" ht="14.45" customHeight="1" x14ac:dyDescent="0.25">
      <c r="F148" s="32" t="s">
        <v>626</v>
      </c>
      <c r="G148" s="32"/>
      <c r="H148" s="32"/>
      <c r="I148" s="32"/>
      <c r="J148" s="32"/>
      <c r="K148" s="32"/>
    </row>
    <row r="149" spans="6:11" x14ac:dyDescent="0.25">
      <c r="F149" s="32"/>
      <c r="G149" s="32"/>
      <c r="H149" s="32"/>
      <c r="I149" s="32"/>
      <c r="J149" s="32"/>
      <c r="K149" s="32"/>
    </row>
    <row r="150" spans="6:11" x14ac:dyDescent="0.25">
      <c r="F150" s="32"/>
      <c r="G150" s="32"/>
      <c r="H150" s="32"/>
      <c r="I150" s="32"/>
      <c r="J150" s="32"/>
      <c r="K150" s="32"/>
    </row>
    <row r="151" spans="6:11" x14ac:dyDescent="0.25">
      <c r="F151" s="32"/>
      <c r="G151" s="32"/>
      <c r="H151" s="32"/>
      <c r="I151" s="32"/>
      <c r="J151" s="32"/>
      <c r="K151" s="32"/>
    </row>
    <row r="152" spans="6:11" x14ac:dyDescent="0.25">
      <c r="F152" s="32"/>
      <c r="G152" s="32"/>
      <c r="H152" s="32"/>
      <c r="I152" s="32"/>
      <c r="J152" s="32"/>
      <c r="K152" s="32"/>
    </row>
    <row r="153" spans="6:11" x14ac:dyDescent="0.25">
      <c r="F153" s="2" t="s">
        <v>0</v>
      </c>
      <c r="G153" s="4">
        <v>46227</v>
      </c>
      <c r="H153" s="2" t="s">
        <v>2</v>
      </c>
      <c r="I153" s="1" t="s">
        <v>47</v>
      </c>
      <c r="J153" s="2" t="s">
        <v>11</v>
      </c>
      <c r="K153" s="1" t="s">
        <v>14</v>
      </c>
    </row>
    <row r="154" spans="6:11" x14ac:dyDescent="0.25">
      <c r="F154" s="32" t="s">
        <v>627</v>
      </c>
      <c r="G154" s="32"/>
      <c r="H154" s="32"/>
      <c r="I154" s="32"/>
      <c r="J154" s="32"/>
      <c r="K154" s="32"/>
    </row>
    <row r="155" spans="6:11" x14ac:dyDescent="0.25">
      <c r="F155" s="32"/>
      <c r="G155" s="32"/>
      <c r="H155" s="32"/>
      <c r="I155" s="32"/>
      <c r="J155" s="32"/>
      <c r="K155" s="32"/>
    </row>
    <row r="156" spans="6:11" x14ac:dyDescent="0.25">
      <c r="F156" s="32"/>
      <c r="G156" s="32"/>
      <c r="H156" s="32"/>
      <c r="I156" s="32"/>
      <c r="J156" s="32"/>
      <c r="K156" s="32"/>
    </row>
    <row r="157" spans="6:11" x14ac:dyDescent="0.25">
      <c r="F157" s="2" t="s">
        <v>0</v>
      </c>
      <c r="G157" s="4">
        <v>46228</v>
      </c>
      <c r="H157" s="2" t="s">
        <v>2</v>
      </c>
      <c r="I157" s="1" t="s">
        <v>588</v>
      </c>
      <c r="J157" s="2" t="s">
        <v>11</v>
      </c>
      <c r="K157" s="1" t="s">
        <v>14</v>
      </c>
    </row>
    <row r="158" spans="6:11" x14ac:dyDescent="0.25">
      <c r="F158" s="32" t="s">
        <v>628</v>
      </c>
      <c r="G158" s="32"/>
      <c r="H158" s="32"/>
      <c r="I158" s="32"/>
      <c r="J158" s="32"/>
      <c r="K158" s="32"/>
    </row>
    <row r="159" spans="6:11" x14ac:dyDescent="0.25">
      <c r="F159" s="32"/>
      <c r="G159" s="32"/>
      <c r="H159" s="32"/>
      <c r="I159" s="32"/>
      <c r="J159" s="32"/>
      <c r="K159" s="32"/>
    </row>
    <row r="160" spans="6:11" x14ac:dyDescent="0.25">
      <c r="F160" s="32"/>
      <c r="G160" s="32"/>
      <c r="H160" s="32"/>
      <c r="I160" s="32"/>
      <c r="J160" s="32"/>
      <c r="K160" s="32"/>
    </row>
    <row r="161" spans="6:11" x14ac:dyDescent="0.25">
      <c r="F161" s="2" t="s">
        <v>0</v>
      </c>
      <c r="G161" s="4">
        <v>46229</v>
      </c>
      <c r="H161" s="2" t="s">
        <v>2</v>
      </c>
      <c r="I161" s="1" t="s">
        <v>588</v>
      </c>
      <c r="J161" s="2" t="s">
        <v>11</v>
      </c>
      <c r="K161" s="1" t="s">
        <v>14</v>
      </c>
    </row>
    <row r="162" spans="6:11" x14ac:dyDescent="0.25">
      <c r="F162" s="32" t="s">
        <v>642</v>
      </c>
      <c r="G162" s="32"/>
      <c r="H162" s="32"/>
      <c r="I162" s="32"/>
      <c r="J162" s="32"/>
      <c r="K162" s="32"/>
    </row>
    <row r="163" spans="6:11" x14ac:dyDescent="0.25">
      <c r="F163" s="32"/>
      <c r="G163" s="32"/>
      <c r="H163" s="32"/>
      <c r="I163" s="32"/>
      <c r="J163" s="32"/>
      <c r="K163" s="32"/>
    </row>
    <row r="164" spans="6:11" x14ac:dyDescent="0.25">
      <c r="F164" s="32"/>
      <c r="G164" s="32"/>
      <c r="H164" s="32"/>
      <c r="I164" s="32"/>
      <c r="J164" s="32"/>
      <c r="K164" s="32"/>
    </row>
    <row r="165" spans="6:11" x14ac:dyDescent="0.25">
      <c r="F165" s="2" t="s">
        <v>0</v>
      </c>
      <c r="G165" s="4">
        <v>46230</v>
      </c>
      <c r="H165" s="2" t="s">
        <v>2</v>
      </c>
      <c r="I165" s="1" t="s">
        <v>588</v>
      </c>
      <c r="J165" s="2" t="s">
        <v>11</v>
      </c>
      <c r="K165" s="1" t="s">
        <v>14</v>
      </c>
    </row>
    <row r="166" spans="6:11" x14ac:dyDescent="0.25">
      <c r="F166" s="32" t="s">
        <v>655</v>
      </c>
      <c r="G166" s="32"/>
      <c r="H166" s="32"/>
      <c r="I166" s="32"/>
      <c r="J166" s="32"/>
      <c r="K166" s="32"/>
    </row>
    <row r="167" spans="6:11" x14ac:dyDescent="0.25">
      <c r="F167" s="32"/>
      <c r="G167" s="32"/>
      <c r="H167" s="32"/>
      <c r="I167" s="32"/>
      <c r="J167" s="32"/>
      <c r="K167" s="32"/>
    </row>
    <row r="168" spans="6:11" x14ac:dyDescent="0.25">
      <c r="F168" s="32"/>
      <c r="G168" s="32"/>
      <c r="H168" s="32"/>
      <c r="I168" s="32"/>
      <c r="J168" s="32"/>
      <c r="K168" s="32"/>
    </row>
    <row r="169" spans="6:11" x14ac:dyDescent="0.25">
      <c r="F169" s="2" t="s">
        <v>0</v>
      </c>
      <c r="G169" s="4">
        <v>46231</v>
      </c>
      <c r="H169" s="2" t="s">
        <v>2</v>
      </c>
      <c r="I169" s="1" t="s">
        <v>588</v>
      </c>
      <c r="J169" s="2" t="s">
        <v>11</v>
      </c>
      <c r="K169" s="1" t="s">
        <v>14</v>
      </c>
    </row>
    <row r="170" spans="6:11" x14ac:dyDescent="0.25">
      <c r="F170" s="32" t="s">
        <v>664</v>
      </c>
      <c r="G170" s="32"/>
      <c r="H170" s="32"/>
      <c r="I170" s="32"/>
      <c r="J170" s="32"/>
      <c r="K170" s="32"/>
    </row>
    <row r="171" spans="6:11" x14ac:dyDescent="0.25">
      <c r="F171" s="32"/>
      <c r="G171" s="32"/>
      <c r="H171" s="32"/>
      <c r="I171" s="32"/>
      <c r="J171" s="32"/>
      <c r="K171" s="32"/>
    </row>
    <row r="172" spans="6:11" x14ac:dyDescent="0.25">
      <c r="F172" s="32"/>
      <c r="G172" s="32"/>
      <c r="H172" s="32"/>
      <c r="I172" s="32"/>
      <c r="J172" s="32"/>
      <c r="K172" s="32"/>
    </row>
    <row r="173" spans="6:11" x14ac:dyDescent="0.25">
      <c r="F173" s="2" t="s">
        <v>0</v>
      </c>
      <c r="G173" s="4">
        <v>46232</v>
      </c>
      <c r="H173" s="2" t="s">
        <v>2</v>
      </c>
      <c r="I173" s="1" t="s">
        <v>588</v>
      </c>
      <c r="J173" s="2" t="s">
        <v>11</v>
      </c>
      <c r="K173" s="1" t="s">
        <v>14</v>
      </c>
    </row>
    <row r="174" spans="6:11" x14ac:dyDescent="0.25">
      <c r="F174" s="32" t="s">
        <v>695</v>
      </c>
      <c r="G174" s="32"/>
      <c r="H174" s="32"/>
      <c r="I174" s="32"/>
      <c r="J174" s="32"/>
      <c r="K174" s="32"/>
    </row>
    <row r="175" spans="6:11" x14ac:dyDescent="0.25">
      <c r="F175" s="32"/>
      <c r="G175" s="32"/>
      <c r="H175" s="32"/>
      <c r="I175" s="32"/>
      <c r="J175" s="32"/>
      <c r="K175" s="32"/>
    </row>
    <row r="176" spans="6:11" x14ac:dyDescent="0.25">
      <c r="F176" s="32"/>
      <c r="G176" s="32"/>
      <c r="H176" s="32"/>
      <c r="I176" s="32"/>
      <c r="J176" s="32"/>
      <c r="K176" s="32"/>
    </row>
    <row r="177" spans="6:11" x14ac:dyDescent="0.25">
      <c r="F177" s="2" t="s">
        <v>0</v>
      </c>
      <c r="G177" s="4">
        <v>46232</v>
      </c>
      <c r="H177" s="2" t="s">
        <v>2</v>
      </c>
      <c r="I177" s="1" t="s">
        <v>22</v>
      </c>
      <c r="J177" s="2" t="s">
        <v>11</v>
      </c>
      <c r="K177" s="1" t="s">
        <v>14</v>
      </c>
    </row>
    <row r="178" spans="6:11" x14ac:dyDescent="0.25">
      <c r="F178" s="32" t="s">
        <v>698</v>
      </c>
      <c r="G178" s="32"/>
      <c r="H178" s="32"/>
      <c r="I178" s="32"/>
      <c r="J178" s="32"/>
      <c r="K178" s="32"/>
    </row>
    <row r="179" spans="6:11" x14ac:dyDescent="0.25">
      <c r="F179" s="32"/>
      <c r="G179" s="32"/>
      <c r="H179" s="32"/>
      <c r="I179" s="32"/>
      <c r="J179" s="32"/>
      <c r="K179" s="32"/>
    </row>
    <row r="180" spans="6:11" x14ac:dyDescent="0.25">
      <c r="F180" s="32"/>
      <c r="G180" s="32"/>
      <c r="H180" s="32"/>
      <c r="I180" s="32"/>
      <c r="J180" s="32"/>
      <c r="K180" s="32"/>
    </row>
    <row r="181" spans="6:11" x14ac:dyDescent="0.25">
      <c r="F181" s="2" t="s">
        <v>0</v>
      </c>
      <c r="G181" s="4">
        <v>46233</v>
      </c>
      <c r="H181" s="2" t="s">
        <v>2</v>
      </c>
      <c r="I181" s="1" t="s">
        <v>711</v>
      </c>
      <c r="J181" s="2" t="s">
        <v>11</v>
      </c>
      <c r="K181" s="1" t="s">
        <v>14</v>
      </c>
    </row>
    <row r="182" spans="6:11" x14ac:dyDescent="0.25">
      <c r="F182" s="32" t="s">
        <v>712</v>
      </c>
      <c r="G182" s="32"/>
      <c r="H182" s="32"/>
      <c r="I182" s="32"/>
      <c r="J182" s="32"/>
      <c r="K182" s="32"/>
    </row>
    <row r="183" spans="6:11" x14ac:dyDescent="0.25">
      <c r="F183" s="32"/>
      <c r="G183" s="32"/>
      <c r="H183" s="32"/>
      <c r="I183" s="32"/>
      <c r="J183" s="32"/>
      <c r="K183" s="32"/>
    </row>
    <row r="184" spans="6:11" x14ac:dyDescent="0.25">
      <c r="F184" s="32"/>
      <c r="G184" s="32"/>
      <c r="H184" s="32"/>
      <c r="I184" s="32"/>
      <c r="J184" s="32"/>
      <c r="K184" s="32"/>
    </row>
    <row r="185" spans="6:11" x14ac:dyDescent="0.25">
      <c r="F185" s="2" t="s">
        <v>0</v>
      </c>
      <c r="G185" s="4">
        <v>46234</v>
      </c>
      <c r="H185" s="2" t="s">
        <v>2</v>
      </c>
      <c r="I185" s="1" t="s">
        <v>588</v>
      </c>
      <c r="J185" s="2" t="s">
        <v>11</v>
      </c>
      <c r="K185" s="1" t="s">
        <v>14</v>
      </c>
    </row>
    <row r="186" spans="6:11" x14ac:dyDescent="0.25">
      <c r="F186" s="32" t="s">
        <v>713</v>
      </c>
      <c r="G186" s="32"/>
      <c r="H186" s="32"/>
      <c r="I186" s="32"/>
      <c r="J186" s="32"/>
      <c r="K186" s="32"/>
    </row>
    <row r="187" spans="6:11" x14ac:dyDescent="0.25">
      <c r="F187" s="32"/>
      <c r="G187" s="32"/>
      <c r="H187" s="32"/>
      <c r="I187" s="32"/>
      <c r="J187" s="32"/>
      <c r="K187" s="32"/>
    </row>
    <row r="188" spans="6:11" x14ac:dyDescent="0.25">
      <c r="F188" s="32"/>
      <c r="G188" s="32"/>
      <c r="H188" s="32"/>
      <c r="I188" s="32"/>
      <c r="J188" s="32"/>
      <c r="K188" s="32"/>
    </row>
    <row r="189" spans="6:11" x14ac:dyDescent="0.25">
      <c r="F189" s="2" t="s">
        <v>0</v>
      </c>
      <c r="G189" s="4">
        <v>46235</v>
      </c>
      <c r="H189" s="2" t="s">
        <v>2</v>
      </c>
      <c r="I189" s="1" t="s">
        <v>588</v>
      </c>
      <c r="J189" s="2" t="s">
        <v>11</v>
      </c>
      <c r="K189" s="1" t="s">
        <v>14</v>
      </c>
    </row>
    <row r="190" spans="6:11" x14ac:dyDescent="0.25">
      <c r="F190" s="32" t="s">
        <v>714</v>
      </c>
      <c r="G190" s="32"/>
      <c r="H190" s="32"/>
      <c r="I190" s="32"/>
      <c r="J190" s="32"/>
      <c r="K190" s="32"/>
    </row>
    <row r="191" spans="6:11" x14ac:dyDescent="0.25">
      <c r="F191" s="32"/>
      <c r="G191" s="32"/>
      <c r="H191" s="32"/>
      <c r="I191" s="32"/>
      <c r="J191" s="32"/>
      <c r="K191" s="32"/>
    </row>
    <row r="192" spans="6:11" x14ac:dyDescent="0.25">
      <c r="F192" s="32"/>
      <c r="G192" s="32"/>
      <c r="H192" s="32"/>
      <c r="I192" s="32"/>
      <c r="J192" s="32"/>
      <c r="K192" s="32"/>
    </row>
    <row r="193" spans="6:11" x14ac:dyDescent="0.25">
      <c r="F193" s="2" t="s">
        <v>0</v>
      </c>
      <c r="G193" s="4">
        <v>46235</v>
      </c>
      <c r="H193" s="2" t="s">
        <v>2</v>
      </c>
      <c r="I193" s="1" t="s">
        <v>588</v>
      </c>
      <c r="J193" s="2" t="s">
        <v>11</v>
      </c>
      <c r="K193" s="1" t="s">
        <v>14</v>
      </c>
    </row>
    <row r="194" spans="6:11" x14ac:dyDescent="0.25">
      <c r="F194" s="32" t="s">
        <v>715</v>
      </c>
      <c r="G194" s="32"/>
      <c r="H194" s="32"/>
      <c r="I194" s="32"/>
      <c r="J194" s="32"/>
      <c r="K194" s="32"/>
    </row>
    <row r="195" spans="6:11" x14ac:dyDescent="0.25">
      <c r="F195" s="32"/>
      <c r="G195" s="32"/>
      <c r="H195" s="32"/>
      <c r="I195" s="32"/>
      <c r="J195" s="32"/>
      <c r="K195" s="32"/>
    </row>
    <row r="196" spans="6:11" x14ac:dyDescent="0.25">
      <c r="F196" s="32"/>
      <c r="G196" s="32"/>
      <c r="H196" s="32"/>
      <c r="I196" s="32"/>
      <c r="J196" s="32"/>
      <c r="K196" s="32"/>
    </row>
    <row r="197" spans="6:11" x14ac:dyDescent="0.25">
      <c r="F197" s="2" t="s">
        <v>0</v>
      </c>
      <c r="G197" s="4">
        <v>46237</v>
      </c>
      <c r="H197" s="2" t="s">
        <v>2</v>
      </c>
      <c r="I197" s="1" t="s">
        <v>711</v>
      </c>
      <c r="J197" s="2" t="s">
        <v>11</v>
      </c>
      <c r="K197" s="1" t="s">
        <v>14</v>
      </c>
    </row>
    <row r="198" spans="6:11" x14ac:dyDescent="0.25">
      <c r="F198" s="32" t="s">
        <v>743</v>
      </c>
      <c r="G198" s="32"/>
      <c r="H198" s="32"/>
      <c r="I198" s="32"/>
      <c r="J198" s="32"/>
      <c r="K198" s="32"/>
    </row>
    <row r="199" spans="6:11" x14ac:dyDescent="0.25">
      <c r="F199" s="32"/>
      <c r="G199" s="32"/>
      <c r="H199" s="32"/>
      <c r="I199" s="32"/>
      <c r="J199" s="32"/>
      <c r="K199" s="32"/>
    </row>
    <row r="200" spans="6:11" x14ac:dyDescent="0.25">
      <c r="F200" s="32"/>
      <c r="G200" s="32"/>
      <c r="H200" s="32"/>
      <c r="I200" s="32"/>
      <c r="J200" s="32"/>
      <c r="K200" s="32"/>
    </row>
    <row r="201" spans="6:11" x14ac:dyDescent="0.25">
      <c r="F201" s="2" t="s">
        <v>0</v>
      </c>
      <c r="G201" s="4">
        <v>46238</v>
      </c>
      <c r="H201" s="2" t="s">
        <v>2</v>
      </c>
      <c r="I201" s="1" t="s">
        <v>750</v>
      </c>
      <c r="J201" s="2" t="s">
        <v>11</v>
      </c>
      <c r="K201" s="1" t="s">
        <v>14</v>
      </c>
    </row>
    <row r="202" spans="6:11" x14ac:dyDescent="0.25">
      <c r="F202" s="32" t="s">
        <v>749</v>
      </c>
      <c r="G202" s="32"/>
      <c r="H202" s="32"/>
      <c r="I202" s="32"/>
      <c r="J202" s="32"/>
      <c r="K202" s="32"/>
    </row>
    <row r="203" spans="6:11" x14ac:dyDescent="0.25">
      <c r="F203" s="32"/>
      <c r="G203" s="32"/>
      <c r="H203" s="32"/>
      <c r="I203" s="32"/>
      <c r="J203" s="32"/>
      <c r="K203" s="32"/>
    </row>
    <row r="204" spans="6:11" x14ac:dyDescent="0.25">
      <c r="F204" s="32"/>
      <c r="G204" s="32"/>
      <c r="H204" s="32"/>
      <c r="I204" s="32"/>
      <c r="J204" s="32"/>
      <c r="K204" s="32"/>
    </row>
    <row r="205" spans="6:11" x14ac:dyDescent="0.25">
      <c r="F205" s="2" t="s">
        <v>0</v>
      </c>
      <c r="G205" s="4">
        <v>46239</v>
      </c>
      <c r="H205" s="2" t="s">
        <v>2</v>
      </c>
      <c r="I205" s="1" t="s">
        <v>588</v>
      </c>
      <c r="J205" s="2" t="s">
        <v>11</v>
      </c>
      <c r="K205" s="1" t="s">
        <v>14</v>
      </c>
    </row>
    <row r="206" spans="6:11" x14ac:dyDescent="0.25">
      <c r="F206" s="32" t="s">
        <v>759</v>
      </c>
      <c r="G206" s="32"/>
      <c r="H206" s="32"/>
      <c r="I206" s="32"/>
      <c r="J206" s="32"/>
      <c r="K206" s="32"/>
    </row>
    <row r="207" spans="6:11" x14ac:dyDescent="0.25">
      <c r="F207" s="32"/>
      <c r="G207" s="32"/>
      <c r="H207" s="32"/>
      <c r="I207" s="32"/>
      <c r="J207" s="32"/>
      <c r="K207" s="32"/>
    </row>
    <row r="208" spans="6:11" x14ac:dyDescent="0.25">
      <c r="F208" s="32"/>
      <c r="G208" s="32"/>
      <c r="H208" s="32"/>
      <c r="I208" s="32"/>
      <c r="J208" s="32"/>
      <c r="K208" s="32"/>
    </row>
    <row r="209" spans="6:11" x14ac:dyDescent="0.25">
      <c r="F209" s="2" t="s">
        <v>0</v>
      </c>
      <c r="G209" s="4">
        <v>46240</v>
      </c>
      <c r="H209" s="2" t="s">
        <v>2</v>
      </c>
      <c r="I209" s="1" t="s">
        <v>780</v>
      </c>
      <c r="J209" s="2" t="s">
        <v>11</v>
      </c>
      <c r="K209" s="1" t="s">
        <v>14</v>
      </c>
    </row>
    <row r="210" spans="6:11" x14ac:dyDescent="0.25">
      <c r="F210" s="32" t="s">
        <v>781</v>
      </c>
      <c r="G210" s="32"/>
      <c r="H210" s="32"/>
      <c r="I210" s="32"/>
      <c r="J210" s="32"/>
      <c r="K210" s="32"/>
    </row>
    <row r="211" spans="6:11" x14ac:dyDescent="0.25">
      <c r="F211" s="32"/>
      <c r="G211" s="32"/>
      <c r="H211" s="32"/>
      <c r="I211" s="32"/>
      <c r="J211" s="32"/>
      <c r="K211" s="32"/>
    </row>
    <row r="212" spans="6:11" x14ac:dyDescent="0.25">
      <c r="F212" s="32"/>
      <c r="G212" s="32"/>
      <c r="H212" s="32"/>
      <c r="I212" s="32"/>
      <c r="J212" s="32"/>
      <c r="K212" s="32"/>
    </row>
    <row r="213" spans="6:11" x14ac:dyDescent="0.25">
      <c r="F213" s="2" t="s">
        <v>0</v>
      </c>
      <c r="G213" s="4">
        <v>46241</v>
      </c>
      <c r="H213" s="2" t="s">
        <v>2</v>
      </c>
      <c r="I213" s="1" t="s">
        <v>711</v>
      </c>
      <c r="J213" s="2" t="s">
        <v>11</v>
      </c>
      <c r="K213" s="1" t="s">
        <v>14</v>
      </c>
    </row>
    <row r="214" spans="6:11" x14ac:dyDescent="0.25">
      <c r="F214" s="32" t="s">
        <v>857</v>
      </c>
      <c r="G214" s="32"/>
      <c r="H214" s="32"/>
      <c r="I214" s="32"/>
      <c r="J214" s="32"/>
      <c r="K214" s="32"/>
    </row>
    <row r="215" spans="6:11" x14ac:dyDescent="0.25">
      <c r="F215" s="32"/>
      <c r="G215" s="32"/>
      <c r="H215" s="32"/>
      <c r="I215" s="32"/>
      <c r="J215" s="32"/>
      <c r="K215" s="32"/>
    </row>
    <row r="216" spans="6:11" x14ac:dyDescent="0.25">
      <c r="F216" s="32"/>
      <c r="G216" s="32"/>
      <c r="H216" s="32"/>
      <c r="I216" s="32"/>
      <c r="J216" s="32"/>
      <c r="K216" s="32"/>
    </row>
    <row r="217" spans="6:11" x14ac:dyDescent="0.25">
      <c r="F217" s="2" t="s">
        <v>0</v>
      </c>
      <c r="G217" s="4">
        <v>46242</v>
      </c>
      <c r="H217" s="2" t="s">
        <v>2</v>
      </c>
      <c r="I217" s="1" t="s">
        <v>588</v>
      </c>
      <c r="J217" s="2" t="s">
        <v>11</v>
      </c>
      <c r="K217" s="1" t="s">
        <v>14</v>
      </c>
    </row>
    <row r="218" spans="6:11" x14ac:dyDescent="0.25">
      <c r="F218" s="32" t="s">
        <v>856</v>
      </c>
      <c r="G218" s="32"/>
      <c r="H218" s="32"/>
      <c r="I218" s="32"/>
      <c r="J218" s="32"/>
      <c r="K218" s="32"/>
    </row>
    <row r="219" spans="6:11" x14ac:dyDescent="0.25">
      <c r="F219" s="32"/>
      <c r="G219" s="32"/>
      <c r="H219" s="32"/>
      <c r="I219" s="32"/>
      <c r="J219" s="32"/>
      <c r="K219" s="32"/>
    </row>
    <row r="220" spans="6:11" x14ac:dyDescent="0.25">
      <c r="F220" s="32"/>
      <c r="G220" s="32"/>
      <c r="H220" s="32"/>
      <c r="I220" s="32"/>
      <c r="J220" s="32"/>
      <c r="K220" s="32"/>
    </row>
    <row r="221" spans="6:11" x14ac:dyDescent="0.25">
      <c r="F221" s="2" t="s">
        <v>0</v>
      </c>
      <c r="G221" s="4">
        <v>46243</v>
      </c>
      <c r="H221" s="2" t="s">
        <v>2</v>
      </c>
      <c r="I221" s="1" t="s">
        <v>588</v>
      </c>
      <c r="J221" s="2" t="s">
        <v>11</v>
      </c>
      <c r="K221" s="1" t="s">
        <v>14</v>
      </c>
    </row>
    <row r="222" spans="6:11" ht="14.45" customHeight="1" x14ac:dyDescent="0.25">
      <c r="F222" s="32" t="s">
        <v>855</v>
      </c>
      <c r="G222" s="32"/>
      <c r="H222" s="32"/>
      <c r="I222" s="32"/>
      <c r="J222" s="32"/>
      <c r="K222" s="32"/>
    </row>
    <row r="223" spans="6:11" x14ac:dyDescent="0.25">
      <c r="F223" s="32"/>
      <c r="G223" s="32"/>
      <c r="H223" s="32"/>
      <c r="I223" s="32"/>
      <c r="J223" s="32"/>
      <c r="K223" s="32"/>
    </row>
    <row r="224" spans="6:11" x14ac:dyDescent="0.25">
      <c r="F224" s="32"/>
      <c r="G224" s="32"/>
      <c r="H224" s="32"/>
      <c r="I224" s="32"/>
      <c r="J224" s="32"/>
      <c r="K224" s="32"/>
    </row>
    <row r="225" spans="6:11" x14ac:dyDescent="0.25">
      <c r="F225" s="32"/>
      <c r="G225" s="32"/>
      <c r="H225" s="32"/>
      <c r="I225" s="32"/>
      <c r="J225" s="32"/>
      <c r="K225" s="32"/>
    </row>
    <row r="226" spans="6:11" x14ac:dyDescent="0.25">
      <c r="F226" s="2" t="s">
        <v>0</v>
      </c>
      <c r="G226" s="4">
        <v>46244</v>
      </c>
      <c r="H226" s="2" t="s">
        <v>2</v>
      </c>
      <c r="I226" s="1" t="s">
        <v>711</v>
      </c>
      <c r="J226" s="2" t="s">
        <v>11</v>
      </c>
      <c r="K226" s="1" t="s">
        <v>14</v>
      </c>
    </row>
    <row r="227" spans="6:11" x14ac:dyDescent="0.25">
      <c r="F227" s="32" t="s">
        <v>854</v>
      </c>
      <c r="G227" s="32"/>
      <c r="H227" s="32"/>
      <c r="I227" s="32"/>
      <c r="J227" s="32"/>
      <c r="K227" s="32"/>
    </row>
    <row r="228" spans="6:11" x14ac:dyDescent="0.25">
      <c r="F228" s="32"/>
      <c r="G228" s="32"/>
      <c r="H228" s="32"/>
      <c r="I228" s="32"/>
      <c r="J228" s="32"/>
      <c r="K228" s="32"/>
    </row>
    <row r="229" spans="6:11" x14ac:dyDescent="0.25">
      <c r="F229" s="32"/>
      <c r="G229" s="32"/>
      <c r="H229" s="32"/>
      <c r="I229" s="32"/>
      <c r="J229" s="32"/>
      <c r="K229" s="32"/>
    </row>
    <row r="230" spans="6:11" x14ac:dyDescent="0.25">
      <c r="F230" s="2" t="s">
        <v>0</v>
      </c>
      <c r="G230" s="4">
        <v>46245</v>
      </c>
      <c r="H230" s="2" t="s">
        <v>2</v>
      </c>
      <c r="I230" s="1" t="s">
        <v>711</v>
      </c>
      <c r="J230" s="2" t="s">
        <v>11</v>
      </c>
      <c r="K230" s="1" t="s">
        <v>14</v>
      </c>
    </row>
    <row r="231" spans="6:11" x14ac:dyDescent="0.25">
      <c r="F231" s="32" t="s">
        <v>859</v>
      </c>
      <c r="G231" s="32"/>
      <c r="H231" s="32"/>
      <c r="I231" s="32"/>
      <c r="J231" s="32"/>
      <c r="K231" s="32"/>
    </row>
    <row r="232" spans="6:11" x14ac:dyDescent="0.25">
      <c r="F232" s="32"/>
      <c r="G232" s="32"/>
      <c r="H232" s="32"/>
      <c r="I232" s="32"/>
      <c r="J232" s="32"/>
      <c r="K232" s="32"/>
    </row>
    <row r="233" spans="6:11" x14ac:dyDescent="0.25">
      <c r="F233" s="32"/>
      <c r="G233" s="32"/>
      <c r="H233" s="32"/>
      <c r="I233" s="32"/>
      <c r="J233" s="32"/>
      <c r="K233" s="32"/>
    </row>
    <row r="234" spans="6:11" x14ac:dyDescent="0.25">
      <c r="F234" s="2" t="s">
        <v>0</v>
      </c>
      <c r="G234" s="4">
        <v>46246</v>
      </c>
      <c r="H234" s="2" t="s">
        <v>2</v>
      </c>
      <c r="I234" s="1" t="s">
        <v>588</v>
      </c>
      <c r="J234" s="2" t="s">
        <v>11</v>
      </c>
      <c r="K234" s="1" t="s">
        <v>14</v>
      </c>
    </row>
    <row r="235" spans="6:11" x14ac:dyDescent="0.25">
      <c r="F235" s="32" t="s">
        <v>860</v>
      </c>
      <c r="G235" s="32"/>
      <c r="H235" s="32"/>
      <c r="I235" s="32"/>
      <c r="J235" s="32"/>
      <c r="K235" s="32"/>
    </row>
    <row r="236" spans="6:11" x14ac:dyDescent="0.25">
      <c r="F236" s="32"/>
      <c r="G236" s="32"/>
      <c r="H236" s="32"/>
      <c r="I236" s="32"/>
      <c r="J236" s="32"/>
      <c r="K236" s="32"/>
    </row>
    <row r="237" spans="6:11" x14ac:dyDescent="0.25">
      <c r="F237" s="32"/>
      <c r="G237" s="32"/>
      <c r="H237" s="32"/>
      <c r="I237" s="32"/>
      <c r="J237" s="32"/>
      <c r="K237" s="32"/>
    </row>
    <row r="238" spans="6:11" x14ac:dyDescent="0.25">
      <c r="F238" s="2" t="s">
        <v>0</v>
      </c>
      <c r="G238" s="4">
        <v>46247</v>
      </c>
      <c r="H238" s="2" t="s">
        <v>2</v>
      </c>
      <c r="I238" s="1" t="s">
        <v>588</v>
      </c>
      <c r="J238" s="2" t="s">
        <v>11</v>
      </c>
      <c r="K238" s="1" t="s">
        <v>14</v>
      </c>
    </row>
    <row r="239" spans="6:11" x14ac:dyDescent="0.25">
      <c r="F239" s="32" t="s">
        <v>872</v>
      </c>
      <c r="G239" s="32"/>
      <c r="H239" s="32"/>
      <c r="I239" s="32"/>
      <c r="J239" s="32"/>
      <c r="K239" s="32"/>
    </row>
    <row r="240" spans="6:11" x14ac:dyDescent="0.25">
      <c r="F240" s="32"/>
      <c r="G240" s="32"/>
      <c r="H240" s="32"/>
      <c r="I240" s="32"/>
      <c r="J240" s="32"/>
      <c r="K240" s="32"/>
    </row>
    <row r="241" spans="6:11" x14ac:dyDescent="0.25">
      <c r="F241" s="32"/>
      <c r="G241" s="32"/>
      <c r="H241" s="32"/>
      <c r="I241" s="32"/>
      <c r="J241" s="32"/>
      <c r="K241" s="32"/>
    </row>
    <row r="242" spans="6:11" x14ac:dyDescent="0.25">
      <c r="F242" s="2" t="s">
        <v>0</v>
      </c>
      <c r="G242" s="4">
        <v>46248</v>
      </c>
      <c r="H242" s="2" t="s">
        <v>2</v>
      </c>
      <c r="I242" s="1" t="s">
        <v>588</v>
      </c>
      <c r="J242" s="2" t="s">
        <v>11</v>
      </c>
      <c r="K242" s="1" t="s">
        <v>14</v>
      </c>
    </row>
    <row r="243" spans="6:11" x14ac:dyDescent="0.25">
      <c r="F243" s="32" t="s">
        <v>883</v>
      </c>
      <c r="G243" s="32"/>
      <c r="H243" s="32"/>
      <c r="I243" s="32"/>
      <c r="J243" s="32"/>
      <c r="K243" s="32"/>
    </row>
    <row r="244" spans="6:11" x14ac:dyDescent="0.25">
      <c r="F244" s="32"/>
      <c r="G244" s="32"/>
      <c r="H244" s="32"/>
      <c r="I244" s="32"/>
      <c r="J244" s="32"/>
      <c r="K244" s="32"/>
    </row>
    <row r="245" spans="6:11" x14ac:dyDescent="0.25">
      <c r="F245" s="32"/>
      <c r="G245" s="32"/>
      <c r="H245" s="32"/>
      <c r="I245" s="32"/>
      <c r="J245" s="32"/>
      <c r="K245" s="32"/>
    </row>
    <row r="246" spans="6:11" x14ac:dyDescent="0.25">
      <c r="F246" s="2" t="s">
        <v>0</v>
      </c>
      <c r="G246" s="4">
        <v>46249</v>
      </c>
      <c r="H246" s="2" t="s">
        <v>2</v>
      </c>
      <c r="I246" s="1" t="s">
        <v>588</v>
      </c>
      <c r="J246" s="2" t="s">
        <v>11</v>
      </c>
      <c r="K246" s="1" t="s">
        <v>14</v>
      </c>
    </row>
    <row r="247" spans="6:11" x14ac:dyDescent="0.25">
      <c r="F247" s="32" t="s">
        <v>893</v>
      </c>
      <c r="G247" s="32"/>
      <c r="H247" s="32"/>
      <c r="I247" s="32"/>
      <c r="J247" s="32"/>
      <c r="K247" s="32"/>
    </row>
    <row r="248" spans="6:11" x14ac:dyDescent="0.25">
      <c r="F248" s="32"/>
      <c r="G248" s="32"/>
      <c r="H248" s="32"/>
      <c r="I248" s="32"/>
      <c r="J248" s="32"/>
      <c r="K248" s="32"/>
    </row>
    <row r="249" spans="6:11" x14ac:dyDescent="0.25">
      <c r="F249" s="32"/>
      <c r="G249" s="32"/>
      <c r="H249" s="32"/>
      <c r="I249" s="32"/>
      <c r="J249" s="32"/>
      <c r="K249" s="32"/>
    </row>
    <row r="250" spans="6:11" x14ac:dyDescent="0.25">
      <c r="F250" s="2" t="s">
        <v>0</v>
      </c>
      <c r="G250" s="4">
        <v>46250</v>
      </c>
      <c r="H250" s="2" t="s">
        <v>2</v>
      </c>
      <c r="I250" s="1" t="s">
        <v>588</v>
      </c>
      <c r="J250" s="2" t="s">
        <v>11</v>
      </c>
      <c r="K250" s="1" t="s">
        <v>14</v>
      </c>
    </row>
    <row r="251" spans="6:11" x14ac:dyDescent="0.25">
      <c r="F251" s="32" t="s">
        <v>894</v>
      </c>
      <c r="G251" s="32"/>
      <c r="H251" s="32"/>
      <c r="I251" s="32"/>
      <c r="J251" s="32"/>
      <c r="K251" s="32"/>
    </row>
    <row r="252" spans="6:11" x14ac:dyDescent="0.25">
      <c r="F252" s="32"/>
      <c r="G252" s="32"/>
      <c r="H252" s="32"/>
      <c r="I252" s="32"/>
      <c r="J252" s="32"/>
      <c r="K252" s="32"/>
    </row>
    <row r="253" spans="6:11" x14ac:dyDescent="0.25">
      <c r="F253" s="32"/>
      <c r="G253" s="32"/>
      <c r="H253" s="32"/>
      <c r="I253" s="32"/>
      <c r="J253" s="32"/>
      <c r="K253" s="32"/>
    </row>
    <row r="254" spans="6:11" x14ac:dyDescent="0.25">
      <c r="F254" s="2" t="s">
        <v>0</v>
      </c>
      <c r="G254" s="4">
        <v>46251</v>
      </c>
      <c r="H254" s="2" t="s">
        <v>2</v>
      </c>
      <c r="I254" s="1" t="s">
        <v>588</v>
      </c>
      <c r="J254" s="2" t="s">
        <v>11</v>
      </c>
      <c r="K254" s="1" t="s">
        <v>14</v>
      </c>
    </row>
    <row r="255" spans="6:11" ht="14.45" customHeight="1" x14ac:dyDescent="0.25">
      <c r="F255" s="32" t="s">
        <v>904</v>
      </c>
      <c r="G255" s="32"/>
      <c r="H255" s="32"/>
      <c r="I255" s="32"/>
      <c r="J255" s="32"/>
      <c r="K255" s="32"/>
    </row>
    <row r="256" spans="6:11" x14ac:dyDescent="0.25">
      <c r="F256" s="32"/>
      <c r="G256" s="32"/>
      <c r="H256" s="32"/>
      <c r="I256" s="32"/>
      <c r="J256" s="32"/>
      <c r="K256" s="32"/>
    </row>
    <row r="257" spans="6:11" x14ac:dyDescent="0.25">
      <c r="F257" s="32"/>
      <c r="G257" s="32"/>
      <c r="H257" s="32"/>
      <c r="I257" s="32"/>
      <c r="J257" s="32"/>
      <c r="K257" s="32"/>
    </row>
    <row r="258" spans="6:11" x14ac:dyDescent="0.25">
      <c r="F258" s="32"/>
      <c r="G258" s="32"/>
      <c r="H258" s="32"/>
      <c r="I258" s="32"/>
      <c r="J258" s="32"/>
      <c r="K258" s="32"/>
    </row>
    <row r="259" spans="6:11" x14ac:dyDescent="0.25">
      <c r="F259" s="2" t="s">
        <v>0</v>
      </c>
      <c r="G259" s="4">
        <v>46252</v>
      </c>
      <c r="H259" s="2" t="s">
        <v>2</v>
      </c>
      <c r="I259" s="1" t="s">
        <v>588</v>
      </c>
      <c r="J259" s="2" t="s">
        <v>11</v>
      </c>
      <c r="K259" s="1" t="s">
        <v>14</v>
      </c>
    </row>
    <row r="260" spans="6:11" x14ac:dyDescent="0.25">
      <c r="F260" s="32" t="s">
        <v>905</v>
      </c>
      <c r="G260" s="32"/>
      <c r="H260" s="32"/>
      <c r="I260" s="32"/>
      <c r="J260" s="32"/>
      <c r="K260" s="32"/>
    </row>
    <row r="261" spans="6:11" x14ac:dyDescent="0.25">
      <c r="F261" s="32"/>
      <c r="G261" s="32"/>
      <c r="H261" s="32"/>
      <c r="I261" s="32"/>
      <c r="J261" s="32"/>
      <c r="K261" s="32"/>
    </row>
    <row r="262" spans="6:11" x14ac:dyDescent="0.25">
      <c r="F262" s="32"/>
      <c r="G262" s="32"/>
      <c r="H262" s="32"/>
      <c r="I262" s="32"/>
      <c r="J262" s="32"/>
      <c r="K262" s="32"/>
    </row>
    <row r="263" spans="6:11" x14ac:dyDescent="0.25">
      <c r="F263" s="32"/>
      <c r="G263" s="32"/>
      <c r="H263" s="32"/>
      <c r="I263" s="32"/>
      <c r="J263" s="32"/>
      <c r="K263" s="32"/>
    </row>
    <row r="264" spans="6:11" x14ac:dyDescent="0.25">
      <c r="F264" s="2" t="s">
        <v>0</v>
      </c>
      <c r="G264" s="4">
        <v>46253</v>
      </c>
      <c r="H264" s="2" t="s">
        <v>2</v>
      </c>
      <c r="I264" s="1" t="s">
        <v>588</v>
      </c>
      <c r="J264" s="2" t="s">
        <v>11</v>
      </c>
      <c r="K264" s="1" t="s">
        <v>14</v>
      </c>
    </row>
    <row r="265" spans="6:11" x14ac:dyDescent="0.25">
      <c r="F265" s="32" t="s">
        <v>924</v>
      </c>
      <c r="G265" s="32"/>
      <c r="H265" s="32"/>
      <c r="I265" s="32"/>
      <c r="J265" s="32"/>
      <c r="K265" s="32"/>
    </row>
    <row r="266" spans="6:11" x14ac:dyDescent="0.25">
      <c r="F266" s="32"/>
      <c r="G266" s="32"/>
      <c r="H266" s="32"/>
      <c r="I266" s="32"/>
      <c r="J266" s="32"/>
      <c r="K266" s="32"/>
    </row>
    <row r="267" spans="6:11" x14ac:dyDescent="0.25">
      <c r="F267" s="32"/>
      <c r="G267" s="32"/>
      <c r="H267" s="32"/>
      <c r="I267" s="32"/>
      <c r="J267" s="32"/>
      <c r="K267" s="32"/>
    </row>
    <row r="268" spans="6:11" x14ac:dyDescent="0.25">
      <c r="F268" s="32"/>
      <c r="G268" s="32"/>
      <c r="H268" s="32"/>
      <c r="I268" s="32"/>
      <c r="J268" s="32"/>
      <c r="K268" s="32"/>
    </row>
    <row r="269" spans="6:11" x14ac:dyDescent="0.25">
      <c r="F269" s="2" t="s">
        <v>0</v>
      </c>
      <c r="G269" s="4">
        <v>46254</v>
      </c>
      <c r="H269" s="2" t="s">
        <v>2</v>
      </c>
      <c r="I269" s="1" t="s">
        <v>588</v>
      </c>
      <c r="J269" s="2" t="s">
        <v>11</v>
      </c>
      <c r="K269" s="1" t="s">
        <v>14</v>
      </c>
    </row>
    <row r="270" spans="6:11" x14ac:dyDescent="0.25">
      <c r="F270" s="32" t="s">
        <v>938</v>
      </c>
      <c r="G270" s="32"/>
      <c r="H270" s="32"/>
      <c r="I270" s="32"/>
      <c r="J270" s="32"/>
      <c r="K270" s="32"/>
    </row>
    <row r="271" spans="6:11" x14ac:dyDescent="0.25">
      <c r="F271" s="32"/>
      <c r="G271" s="32"/>
      <c r="H271" s="32"/>
      <c r="I271" s="32"/>
      <c r="J271" s="32"/>
      <c r="K271" s="32"/>
    </row>
    <row r="272" spans="6:11" x14ac:dyDescent="0.25">
      <c r="F272" s="32"/>
      <c r="G272" s="32"/>
      <c r="H272" s="32"/>
      <c r="I272" s="32"/>
      <c r="J272" s="32"/>
      <c r="K272" s="32"/>
    </row>
    <row r="273" spans="6:11" x14ac:dyDescent="0.25">
      <c r="F273" s="32"/>
      <c r="G273" s="32"/>
      <c r="H273" s="32"/>
      <c r="I273" s="32"/>
      <c r="J273" s="32"/>
      <c r="K273" s="32"/>
    </row>
    <row r="274" spans="6:11" x14ac:dyDescent="0.25">
      <c r="F274" s="2" t="s">
        <v>0</v>
      </c>
      <c r="G274" s="4">
        <v>46255</v>
      </c>
      <c r="H274" s="2" t="s">
        <v>2</v>
      </c>
      <c r="I274" s="1" t="s">
        <v>47</v>
      </c>
      <c r="J274" s="2" t="s">
        <v>11</v>
      </c>
      <c r="K274" s="1" t="s">
        <v>14</v>
      </c>
    </row>
    <row r="275" spans="6:11" x14ac:dyDescent="0.25">
      <c r="F275" s="32" t="s">
        <v>939</v>
      </c>
      <c r="G275" s="32"/>
      <c r="H275" s="32"/>
      <c r="I275" s="32"/>
      <c r="J275" s="32"/>
      <c r="K275" s="32"/>
    </row>
    <row r="276" spans="6:11" x14ac:dyDescent="0.25">
      <c r="F276" s="32"/>
      <c r="G276" s="32"/>
      <c r="H276" s="32"/>
      <c r="I276" s="32"/>
      <c r="J276" s="32"/>
      <c r="K276" s="32"/>
    </row>
    <row r="277" spans="6:11" x14ac:dyDescent="0.25">
      <c r="F277" s="32"/>
      <c r="G277" s="32"/>
      <c r="H277" s="32"/>
      <c r="I277" s="32"/>
      <c r="J277" s="32"/>
      <c r="K277" s="32"/>
    </row>
    <row r="278" spans="6:11" x14ac:dyDescent="0.25">
      <c r="F278" s="32"/>
      <c r="G278" s="32"/>
      <c r="H278" s="32"/>
      <c r="I278" s="32"/>
      <c r="J278" s="32"/>
      <c r="K278" s="32"/>
    </row>
    <row r="279" spans="6:11" x14ac:dyDescent="0.25">
      <c r="F279" s="2" t="s">
        <v>0</v>
      </c>
      <c r="G279" s="4">
        <v>46256</v>
      </c>
      <c r="H279" s="2" t="s">
        <v>2</v>
      </c>
      <c r="I279" s="1" t="s">
        <v>47</v>
      </c>
      <c r="J279" s="2" t="s">
        <v>11</v>
      </c>
      <c r="K279" s="1" t="s">
        <v>14</v>
      </c>
    </row>
    <row r="280" spans="6:11" x14ac:dyDescent="0.25">
      <c r="F280" s="32" t="s">
        <v>940</v>
      </c>
      <c r="G280" s="32"/>
      <c r="H280" s="32"/>
      <c r="I280" s="32"/>
      <c r="J280" s="32"/>
      <c r="K280" s="32"/>
    </row>
    <row r="281" spans="6:11" x14ac:dyDescent="0.25">
      <c r="F281" s="32"/>
      <c r="G281" s="32"/>
      <c r="H281" s="32"/>
      <c r="I281" s="32"/>
      <c r="J281" s="32"/>
      <c r="K281" s="32"/>
    </row>
    <row r="282" spans="6:11" x14ac:dyDescent="0.25">
      <c r="F282" s="32"/>
      <c r="G282" s="32"/>
      <c r="H282" s="32"/>
      <c r="I282" s="32"/>
      <c r="J282" s="32"/>
      <c r="K282" s="32"/>
    </row>
    <row r="283" spans="6:11" x14ac:dyDescent="0.25">
      <c r="F283" s="32"/>
      <c r="G283" s="32"/>
      <c r="H283" s="32"/>
      <c r="I283" s="32"/>
      <c r="J283" s="32"/>
      <c r="K283" s="32"/>
    </row>
    <row r="284" spans="6:11" x14ac:dyDescent="0.25">
      <c r="F284" s="2" t="s">
        <v>0</v>
      </c>
      <c r="G284" s="4">
        <v>46257</v>
      </c>
      <c r="H284" s="2" t="s">
        <v>2</v>
      </c>
      <c r="I284" s="1" t="s">
        <v>47</v>
      </c>
      <c r="J284" s="2" t="s">
        <v>11</v>
      </c>
      <c r="K284" s="1" t="s">
        <v>14</v>
      </c>
    </row>
    <row r="285" spans="6:11" x14ac:dyDescent="0.25">
      <c r="F285" s="32" t="s">
        <v>967</v>
      </c>
      <c r="G285" s="32"/>
      <c r="H285" s="32"/>
      <c r="I285" s="32"/>
      <c r="J285" s="32"/>
      <c r="K285" s="32"/>
    </row>
    <row r="286" spans="6:11" x14ac:dyDescent="0.25">
      <c r="F286" s="32"/>
      <c r="G286" s="32"/>
      <c r="H286" s="32"/>
      <c r="I286" s="32"/>
      <c r="J286" s="32"/>
      <c r="K286" s="32"/>
    </row>
    <row r="287" spans="6:11" x14ac:dyDescent="0.25">
      <c r="F287" s="32"/>
      <c r="G287" s="32"/>
      <c r="H287" s="32"/>
      <c r="I287" s="32"/>
      <c r="J287" s="32"/>
      <c r="K287" s="32"/>
    </row>
    <row r="288" spans="6:11" x14ac:dyDescent="0.25">
      <c r="F288" s="32"/>
      <c r="G288" s="32"/>
      <c r="H288" s="32"/>
      <c r="I288" s="32"/>
      <c r="J288" s="32"/>
      <c r="K288" s="32"/>
    </row>
    <row r="289" spans="6:11" x14ac:dyDescent="0.25">
      <c r="F289" s="2" t="s">
        <v>0</v>
      </c>
      <c r="G289" s="4">
        <v>46258</v>
      </c>
      <c r="H289" s="2" t="s">
        <v>2</v>
      </c>
      <c r="I289" s="1" t="s">
        <v>47</v>
      </c>
      <c r="J289" s="2" t="s">
        <v>11</v>
      </c>
      <c r="K289" s="1" t="s">
        <v>14</v>
      </c>
    </row>
    <row r="290" spans="6:11" x14ac:dyDescent="0.25">
      <c r="F290" s="32" t="s">
        <v>941</v>
      </c>
      <c r="G290" s="32"/>
      <c r="H290" s="32"/>
      <c r="I290" s="32"/>
      <c r="J290" s="32"/>
      <c r="K290" s="32"/>
    </row>
    <row r="291" spans="6:11" x14ac:dyDescent="0.25">
      <c r="F291" s="32"/>
      <c r="G291" s="32"/>
      <c r="H291" s="32"/>
      <c r="I291" s="32"/>
      <c r="J291" s="32"/>
      <c r="K291" s="32"/>
    </row>
    <row r="292" spans="6:11" x14ac:dyDescent="0.25">
      <c r="F292" s="32"/>
      <c r="G292" s="32"/>
      <c r="H292" s="32"/>
      <c r="I292" s="32"/>
      <c r="J292" s="32"/>
      <c r="K292" s="32"/>
    </row>
    <row r="293" spans="6:11" x14ac:dyDescent="0.25">
      <c r="F293" s="32"/>
      <c r="G293" s="32"/>
      <c r="H293" s="32"/>
      <c r="I293" s="32"/>
      <c r="J293" s="32"/>
      <c r="K293" s="32"/>
    </row>
    <row r="294" spans="6:11" x14ac:dyDescent="0.25">
      <c r="F294" s="2" t="s">
        <v>0</v>
      </c>
      <c r="G294" s="4">
        <v>46259</v>
      </c>
      <c r="H294" s="2" t="s">
        <v>2</v>
      </c>
      <c r="I294" s="1" t="s">
        <v>15</v>
      </c>
      <c r="J294" s="2" t="s">
        <v>11</v>
      </c>
      <c r="K294" s="1" t="s">
        <v>14</v>
      </c>
    </row>
    <row r="295" spans="6:11" x14ac:dyDescent="0.25">
      <c r="F295" s="32" t="s">
        <v>982</v>
      </c>
      <c r="G295" s="32"/>
      <c r="H295" s="32"/>
      <c r="I295" s="32"/>
      <c r="J295" s="32"/>
      <c r="K295" s="32"/>
    </row>
    <row r="296" spans="6:11" x14ac:dyDescent="0.25">
      <c r="F296" s="32"/>
      <c r="G296" s="32"/>
      <c r="H296" s="32"/>
      <c r="I296" s="32"/>
      <c r="J296" s="32"/>
      <c r="K296" s="32"/>
    </row>
    <row r="297" spans="6:11" x14ac:dyDescent="0.25">
      <c r="F297" s="32"/>
      <c r="G297" s="32"/>
      <c r="H297" s="32"/>
      <c r="I297" s="32"/>
      <c r="J297" s="32"/>
      <c r="K297" s="32"/>
    </row>
    <row r="298" spans="6:11" x14ac:dyDescent="0.25">
      <c r="F298" s="32"/>
      <c r="G298" s="32"/>
      <c r="H298" s="32"/>
      <c r="I298" s="32"/>
      <c r="J298" s="32"/>
      <c r="K298" s="32"/>
    </row>
    <row r="299" spans="6:11" x14ac:dyDescent="0.25">
      <c r="F299" s="2" t="s">
        <v>0</v>
      </c>
      <c r="G299" s="4">
        <v>46260</v>
      </c>
      <c r="H299" s="2" t="s">
        <v>2</v>
      </c>
      <c r="I299" s="1" t="s">
        <v>22</v>
      </c>
      <c r="J299" s="2" t="s">
        <v>11</v>
      </c>
      <c r="K299" s="1" t="s">
        <v>14</v>
      </c>
    </row>
    <row r="300" spans="6:11" x14ac:dyDescent="0.25">
      <c r="F300" s="32" t="s">
        <v>991</v>
      </c>
      <c r="G300" s="32"/>
      <c r="H300" s="32"/>
      <c r="I300" s="32"/>
      <c r="J300" s="32"/>
      <c r="K300" s="32"/>
    </row>
    <row r="301" spans="6:11" x14ac:dyDescent="0.25">
      <c r="F301" s="32"/>
      <c r="G301" s="32"/>
      <c r="H301" s="32"/>
      <c r="I301" s="32"/>
      <c r="J301" s="32"/>
      <c r="K301" s="32"/>
    </row>
    <row r="302" spans="6:11" x14ac:dyDescent="0.25">
      <c r="F302" s="32"/>
      <c r="G302" s="32"/>
      <c r="H302" s="32"/>
      <c r="I302" s="32"/>
      <c r="J302" s="32"/>
      <c r="K302" s="32"/>
    </row>
    <row r="303" spans="6:11" x14ac:dyDescent="0.25">
      <c r="F303" s="32"/>
      <c r="G303" s="32"/>
      <c r="H303" s="32"/>
      <c r="I303" s="32"/>
      <c r="J303" s="32"/>
      <c r="K303" s="32"/>
    </row>
    <row r="304" spans="6:11" x14ac:dyDescent="0.25">
      <c r="F304" s="2" t="s">
        <v>0</v>
      </c>
      <c r="G304" s="4">
        <v>46261</v>
      </c>
      <c r="H304" s="2" t="s">
        <v>2</v>
      </c>
      <c r="I304" s="1" t="s">
        <v>22</v>
      </c>
      <c r="J304" s="2" t="s">
        <v>11</v>
      </c>
      <c r="K304" s="1" t="s">
        <v>14</v>
      </c>
    </row>
    <row r="305" spans="6:11" x14ac:dyDescent="0.25">
      <c r="F305" s="32" t="s">
        <v>992</v>
      </c>
      <c r="G305" s="32"/>
      <c r="H305" s="32"/>
      <c r="I305" s="32"/>
      <c r="J305" s="32"/>
      <c r="K305" s="32"/>
    </row>
    <row r="306" spans="6:11" x14ac:dyDescent="0.25">
      <c r="F306" s="32"/>
      <c r="G306" s="32"/>
      <c r="H306" s="32"/>
      <c r="I306" s="32"/>
      <c r="J306" s="32"/>
      <c r="K306" s="32"/>
    </row>
    <row r="307" spans="6:11" x14ac:dyDescent="0.25">
      <c r="F307" s="32"/>
      <c r="G307" s="32"/>
      <c r="H307" s="32"/>
      <c r="I307" s="32"/>
      <c r="J307" s="32"/>
      <c r="K307" s="32"/>
    </row>
    <row r="308" spans="6:11" x14ac:dyDescent="0.25">
      <c r="F308" s="32"/>
      <c r="G308" s="32"/>
      <c r="H308" s="32"/>
      <c r="I308" s="32"/>
      <c r="J308" s="32"/>
      <c r="K308" s="32"/>
    </row>
    <row r="309" spans="6:11" x14ac:dyDescent="0.25">
      <c r="F309" s="2" t="s">
        <v>0</v>
      </c>
      <c r="G309" s="4">
        <v>46262</v>
      </c>
      <c r="H309" s="2" t="s">
        <v>2</v>
      </c>
      <c r="I309" s="1" t="s">
        <v>588</v>
      </c>
      <c r="J309" s="2" t="s">
        <v>11</v>
      </c>
      <c r="K309" s="1" t="s">
        <v>14</v>
      </c>
    </row>
    <row r="310" spans="6:11" x14ac:dyDescent="0.25">
      <c r="F310" s="32" t="s">
        <v>1007</v>
      </c>
      <c r="G310" s="32"/>
      <c r="H310" s="32"/>
      <c r="I310" s="32"/>
      <c r="J310" s="32"/>
      <c r="K310" s="32"/>
    </row>
    <row r="311" spans="6:11" x14ac:dyDescent="0.25">
      <c r="F311" s="32"/>
      <c r="G311" s="32"/>
      <c r="H311" s="32"/>
      <c r="I311" s="32"/>
      <c r="J311" s="32"/>
      <c r="K311" s="32"/>
    </row>
    <row r="312" spans="6:11" x14ac:dyDescent="0.25">
      <c r="F312" s="32"/>
      <c r="G312" s="32"/>
      <c r="H312" s="32"/>
      <c r="I312" s="32"/>
      <c r="J312" s="32"/>
      <c r="K312" s="32"/>
    </row>
    <row r="313" spans="6:11" x14ac:dyDescent="0.25">
      <c r="F313" s="32"/>
      <c r="G313" s="32"/>
      <c r="H313" s="32"/>
      <c r="I313" s="32"/>
      <c r="J313" s="32"/>
      <c r="K313" s="32"/>
    </row>
    <row r="314" spans="6:11" x14ac:dyDescent="0.25">
      <c r="F314" s="2" t="s">
        <v>0</v>
      </c>
      <c r="G314" s="4">
        <v>46263</v>
      </c>
      <c r="H314" s="2" t="s">
        <v>2</v>
      </c>
      <c r="I314" s="1" t="s">
        <v>588</v>
      </c>
      <c r="J314" s="2" t="s">
        <v>11</v>
      </c>
      <c r="K314" s="1" t="s">
        <v>14</v>
      </c>
    </row>
    <row r="315" spans="6:11" x14ac:dyDescent="0.25">
      <c r="F315" s="32" t="s">
        <v>1008</v>
      </c>
      <c r="G315" s="32"/>
      <c r="H315" s="32"/>
      <c r="I315" s="32"/>
      <c r="J315" s="32"/>
      <c r="K315" s="32"/>
    </row>
    <row r="316" spans="6:11" x14ac:dyDescent="0.25">
      <c r="F316" s="32"/>
      <c r="G316" s="32"/>
      <c r="H316" s="32"/>
      <c r="I316" s="32"/>
      <c r="J316" s="32"/>
      <c r="K316" s="32"/>
    </row>
    <row r="317" spans="6:11" x14ac:dyDescent="0.25">
      <c r="F317" s="32"/>
      <c r="G317" s="32"/>
      <c r="H317" s="32"/>
      <c r="I317" s="32"/>
      <c r="J317" s="32"/>
      <c r="K317" s="32"/>
    </row>
    <row r="318" spans="6:11" x14ac:dyDescent="0.25">
      <c r="F318" s="32"/>
      <c r="G318" s="32"/>
      <c r="H318" s="32"/>
      <c r="I318" s="32"/>
      <c r="J318" s="32"/>
      <c r="K318" s="32"/>
    </row>
    <row r="319" spans="6:11" x14ac:dyDescent="0.25">
      <c r="F319" s="2" t="s">
        <v>0</v>
      </c>
      <c r="G319" s="4">
        <v>46264</v>
      </c>
      <c r="H319" s="2" t="s">
        <v>2</v>
      </c>
      <c r="I319" s="1" t="s">
        <v>588</v>
      </c>
      <c r="J319" s="2" t="s">
        <v>11</v>
      </c>
      <c r="K319" s="1" t="s">
        <v>14</v>
      </c>
    </row>
    <row r="320" spans="6:11" x14ac:dyDescent="0.25">
      <c r="F320" s="32" t="s">
        <v>1013</v>
      </c>
      <c r="G320" s="32"/>
      <c r="H320" s="32"/>
      <c r="I320" s="32"/>
      <c r="J320" s="32"/>
      <c r="K320" s="32"/>
    </row>
    <row r="321" spans="6:11" x14ac:dyDescent="0.25">
      <c r="F321" s="32"/>
      <c r="G321" s="32"/>
      <c r="H321" s="32"/>
      <c r="I321" s="32"/>
      <c r="J321" s="32"/>
      <c r="K321" s="32"/>
    </row>
    <row r="322" spans="6:11" x14ac:dyDescent="0.25">
      <c r="F322" s="32"/>
      <c r="G322" s="32"/>
      <c r="H322" s="32"/>
      <c r="I322" s="32"/>
      <c r="J322" s="32"/>
      <c r="K322" s="32"/>
    </row>
    <row r="323" spans="6:11" x14ac:dyDescent="0.25">
      <c r="F323" s="32"/>
      <c r="G323" s="32"/>
      <c r="H323" s="32"/>
      <c r="I323" s="32"/>
      <c r="J323" s="32"/>
      <c r="K323" s="32"/>
    </row>
    <row r="324" spans="6:11" x14ac:dyDescent="0.25">
      <c r="F324" s="2" t="s">
        <v>0</v>
      </c>
      <c r="G324" s="4">
        <v>46265</v>
      </c>
      <c r="H324" s="2" t="s">
        <v>2</v>
      </c>
      <c r="I324" s="1" t="s">
        <v>588</v>
      </c>
      <c r="J324" s="2" t="s">
        <v>11</v>
      </c>
      <c r="K324" s="1" t="s">
        <v>14</v>
      </c>
    </row>
    <row r="325" spans="6:11" x14ac:dyDescent="0.25">
      <c r="F325" s="32" t="s">
        <v>1018</v>
      </c>
      <c r="G325" s="32"/>
      <c r="H325" s="32"/>
      <c r="I325" s="32"/>
      <c r="J325" s="32"/>
      <c r="K325" s="32"/>
    </row>
    <row r="326" spans="6:11" x14ac:dyDescent="0.25">
      <c r="F326" s="32"/>
      <c r="G326" s="32"/>
      <c r="H326" s="32"/>
      <c r="I326" s="32"/>
      <c r="J326" s="32"/>
      <c r="K326" s="32"/>
    </row>
    <row r="327" spans="6:11" x14ac:dyDescent="0.25">
      <c r="F327" s="32"/>
      <c r="G327" s="32"/>
      <c r="H327" s="32"/>
      <c r="I327" s="32"/>
      <c r="J327" s="32"/>
      <c r="K327" s="32"/>
    </row>
    <row r="328" spans="6:11" x14ac:dyDescent="0.25">
      <c r="F328" s="32"/>
      <c r="G328" s="32"/>
      <c r="H328" s="32"/>
      <c r="I328" s="32"/>
      <c r="J328" s="32"/>
      <c r="K328" s="32"/>
    </row>
    <row r="329" spans="6:11" x14ac:dyDescent="0.25">
      <c r="F329" s="2" t="s">
        <v>0</v>
      </c>
      <c r="G329" s="4">
        <v>46267</v>
      </c>
      <c r="H329" s="2" t="s">
        <v>2</v>
      </c>
      <c r="I329" s="1" t="s">
        <v>588</v>
      </c>
      <c r="J329" s="2" t="s">
        <v>11</v>
      </c>
      <c r="K329" s="1" t="s">
        <v>14</v>
      </c>
    </row>
    <row r="330" spans="6:11" x14ac:dyDescent="0.25">
      <c r="F330" s="32" t="s">
        <v>1056</v>
      </c>
      <c r="G330" s="32"/>
      <c r="H330" s="32"/>
      <c r="I330" s="32"/>
      <c r="J330" s="32"/>
      <c r="K330" s="32"/>
    </row>
    <row r="331" spans="6:11" x14ac:dyDescent="0.25">
      <c r="F331" s="32"/>
      <c r="G331" s="32"/>
      <c r="H331" s="32"/>
      <c r="I331" s="32"/>
      <c r="J331" s="32"/>
      <c r="K331" s="32"/>
    </row>
    <row r="332" spans="6:11" x14ac:dyDescent="0.25">
      <c r="F332" s="32"/>
      <c r="G332" s="32"/>
      <c r="H332" s="32"/>
      <c r="I332" s="32"/>
      <c r="J332" s="32"/>
      <c r="K332" s="32"/>
    </row>
    <row r="333" spans="6:11" x14ac:dyDescent="0.25">
      <c r="F333" s="32"/>
      <c r="G333" s="32"/>
      <c r="H333" s="32"/>
      <c r="I333" s="32"/>
      <c r="J333" s="32"/>
      <c r="K333" s="32"/>
    </row>
    <row r="334" spans="6:11" x14ac:dyDescent="0.25">
      <c r="F334" s="2" t="s">
        <v>0</v>
      </c>
      <c r="G334" s="4">
        <v>46271</v>
      </c>
      <c r="H334" s="2" t="s">
        <v>2</v>
      </c>
      <c r="I334" s="1" t="s">
        <v>588</v>
      </c>
      <c r="J334" s="2" t="s">
        <v>11</v>
      </c>
      <c r="K334" s="1" t="s">
        <v>14</v>
      </c>
    </row>
    <row r="335" spans="6:11" x14ac:dyDescent="0.25">
      <c r="F335" s="32" t="s">
        <v>1062</v>
      </c>
      <c r="G335" s="32"/>
      <c r="H335" s="32"/>
      <c r="I335" s="32"/>
      <c r="J335" s="32"/>
      <c r="K335" s="32"/>
    </row>
    <row r="336" spans="6:11" x14ac:dyDescent="0.25">
      <c r="F336" s="32"/>
      <c r="G336" s="32"/>
      <c r="H336" s="32"/>
      <c r="I336" s="32"/>
      <c r="J336" s="32"/>
      <c r="K336" s="32"/>
    </row>
    <row r="337" spans="6:11" x14ac:dyDescent="0.25">
      <c r="F337" s="32"/>
      <c r="G337" s="32"/>
      <c r="H337" s="32"/>
      <c r="I337" s="32"/>
      <c r="J337" s="32"/>
      <c r="K337" s="32"/>
    </row>
    <row r="338" spans="6:11" x14ac:dyDescent="0.25">
      <c r="F338" s="32"/>
      <c r="G338" s="32"/>
      <c r="H338" s="32"/>
      <c r="I338" s="32"/>
      <c r="J338" s="32"/>
      <c r="K338" s="32"/>
    </row>
    <row r="339" spans="6:11" x14ac:dyDescent="0.25">
      <c r="F339" s="2" t="s">
        <v>0</v>
      </c>
      <c r="G339" s="4">
        <v>46272</v>
      </c>
      <c r="H339" s="2" t="s">
        <v>2</v>
      </c>
      <c r="I339" s="1" t="s">
        <v>588</v>
      </c>
      <c r="J339" s="2" t="s">
        <v>11</v>
      </c>
      <c r="K339" s="1" t="s">
        <v>14</v>
      </c>
    </row>
    <row r="340" spans="6:11" x14ac:dyDescent="0.25">
      <c r="F340" s="32" t="s">
        <v>1063</v>
      </c>
      <c r="G340" s="32"/>
      <c r="H340" s="32"/>
      <c r="I340" s="32"/>
      <c r="J340" s="32"/>
      <c r="K340" s="32"/>
    </row>
    <row r="341" spans="6:11" x14ac:dyDescent="0.25">
      <c r="F341" s="32"/>
      <c r="G341" s="32"/>
      <c r="H341" s="32"/>
      <c r="I341" s="32"/>
      <c r="J341" s="32"/>
      <c r="K341" s="32"/>
    </row>
    <row r="342" spans="6:11" x14ac:dyDescent="0.25">
      <c r="F342" s="32"/>
      <c r="G342" s="32"/>
      <c r="H342" s="32"/>
      <c r="I342" s="32"/>
      <c r="J342" s="32"/>
      <c r="K342" s="32"/>
    </row>
    <row r="343" spans="6:11" x14ac:dyDescent="0.25">
      <c r="F343" s="32"/>
      <c r="G343" s="32"/>
      <c r="H343" s="32"/>
      <c r="I343" s="32"/>
      <c r="J343" s="32"/>
      <c r="K343" s="32"/>
    </row>
    <row r="344" spans="6:11" x14ac:dyDescent="0.25">
      <c r="F344" s="2" t="s">
        <v>0</v>
      </c>
      <c r="G344" s="4">
        <v>46273</v>
      </c>
      <c r="H344" s="2" t="s">
        <v>2</v>
      </c>
      <c r="I344" s="1" t="s">
        <v>588</v>
      </c>
      <c r="J344" s="2" t="s">
        <v>11</v>
      </c>
      <c r="K344" s="1" t="s">
        <v>14</v>
      </c>
    </row>
    <row r="345" spans="6:11" x14ac:dyDescent="0.25">
      <c r="F345" s="32" t="s">
        <v>1064</v>
      </c>
      <c r="G345" s="32"/>
      <c r="H345" s="32"/>
      <c r="I345" s="32"/>
      <c r="J345" s="32"/>
      <c r="K345" s="32"/>
    </row>
    <row r="346" spans="6:11" x14ac:dyDescent="0.25">
      <c r="F346" s="32"/>
      <c r="G346" s="32"/>
      <c r="H346" s="32"/>
      <c r="I346" s="32"/>
      <c r="J346" s="32"/>
      <c r="K346" s="32"/>
    </row>
    <row r="347" spans="6:11" x14ac:dyDescent="0.25">
      <c r="F347" s="32"/>
      <c r="G347" s="32"/>
      <c r="H347" s="32"/>
      <c r="I347" s="32"/>
      <c r="J347" s="32"/>
      <c r="K347" s="32"/>
    </row>
    <row r="348" spans="6:11" x14ac:dyDescent="0.25">
      <c r="F348" s="32"/>
      <c r="G348" s="32"/>
      <c r="H348" s="32"/>
      <c r="I348" s="32"/>
      <c r="J348" s="32"/>
      <c r="K348" s="32"/>
    </row>
    <row r="349" spans="6:11" x14ac:dyDescent="0.25">
      <c r="F349" s="2" t="s">
        <v>0</v>
      </c>
      <c r="G349" s="4">
        <v>46274</v>
      </c>
      <c r="H349" s="2" t="s">
        <v>2</v>
      </c>
      <c r="I349" s="1" t="s">
        <v>588</v>
      </c>
      <c r="J349" s="2" t="s">
        <v>11</v>
      </c>
      <c r="K349" s="1" t="s">
        <v>14</v>
      </c>
    </row>
    <row r="350" spans="6:11" x14ac:dyDescent="0.25">
      <c r="F350" s="32" t="s">
        <v>1065</v>
      </c>
      <c r="G350" s="32"/>
      <c r="H350" s="32"/>
      <c r="I350" s="32"/>
      <c r="J350" s="32"/>
      <c r="K350" s="32"/>
    </row>
    <row r="351" spans="6:11" x14ac:dyDescent="0.25">
      <c r="F351" s="32"/>
      <c r="G351" s="32"/>
      <c r="H351" s="32"/>
      <c r="I351" s="32"/>
      <c r="J351" s="32"/>
      <c r="K351" s="32"/>
    </row>
    <row r="352" spans="6:11" x14ac:dyDescent="0.25">
      <c r="F352" s="32"/>
      <c r="G352" s="32"/>
      <c r="H352" s="32"/>
      <c r="I352" s="32"/>
      <c r="J352" s="32"/>
      <c r="K352" s="32"/>
    </row>
    <row r="353" spans="6:11" x14ac:dyDescent="0.25">
      <c r="F353" s="32"/>
      <c r="G353" s="32"/>
      <c r="H353" s="32"/>
      <c r="I353" s="32"/>
      <c r="J353" s="32"/>
      <c r="K353" s="32"/>
    </row>
    <row r="354" spans="6:11" x14ac:dyDescent="0.25">
      <c r="F354" s="2" t="s">
        <v>0</v>
      </c>
      <c r="G354" s="4">
        <v>46275</v>
      </c>
      <c r="H354" s="2" t="s">
        <v>2</v>
      </c>
      <c r="I354" s="1" t="s">
        <v>588</v>
      </c>
      <c r="J354" s="2" t="s">
        <v>11</v>
      </c>
      <c r="K354" s="1" t="s">
        <v>14</v>
      </c>
    </row>
    <row r="355" spans="6:11" x14ac:dyDescent="0.25">
      <c r="F355" s="32" t="s">
        <v>1113</v>
      </c>
      <c r="G355" s="32"/>
      <c r="H355" s="32"/>
      <c r="I355" s="32"/>
      <c r="J355" s="32"/>
      <c r="K355" s="32"/>
    </row>
    <row r="356" spans="6:11" x14ac:dyDescent="0.25">
      <c r="F356" s="32"/>
      <c r="G356" s="32"/>
      <c r="H356" s="32"/>
      <c r="I356" s="32"/>
      <c r="J356" s="32"/>
      <c r="K356" s="32"/>
    </row>
    <row r="357" spans="6:11" x14ac:dyDescent="0.25">
      <c r="F357" s="32"/>
      <c r="G357" s="32"/>
      <c r="H357" s="32"/>
      <c r="I357" s="32"/>
      <c r="J357" s="32"/>
      <c r="K357" s="32"/>
    </row>
    <row r="358" spans="6:11" x14ac:dyDescent="0.25">
      <c r="F358" s="32"/>
      <c r="G358" s="32"/>
      <c r="H358" s="32"/>
      <c r="I358" s="32"/>
      <c r="J358" s="32"/>
      <c r="K358" s="32"/>
    </row>
    <row r="359" spans="6:11" x14ac:dyDescent="0.25">
      <c r="F359" s="2" t="s">
        <v>0</v>
      </c>
      <c r="G359" s="4">
        <v>46276</v>
      </c>
      <c r="H359" s="2" t="s">
        <v>2</v>
      </c>
      <c r="I359" s="1" t="s">
        <v>588</v>
      </c>
      <c r="J359" s="2" t="s">
        <v>11</v>
      </c>
      <c r="K359" s="1" t="s">
        <v>14</v>
      </c>
    </row>
    <row r="360" spans="6:11" x14ac:dyDescent="0.25">
      <c r="F360" s="32" t="s">
        <v>1128</v>
      </c>
      <c r="G360" s="32"/>
      <c r="H360" s="32"/>
      <c r="I360" s="32"/>
      <c r="J360" s="32"/>
      <c r="K360" s="32"/>
    </row>
    <row r="361" spans="6:11" x14ac:dyDescent="0.25">
      <c r="F361" s="32"/>
      <c r="G361" s="32"/>
      <c r="H361" s="32"/>
      <c r="I361" s="32"/>
      <c r="J361" s="32"/>
      <c r="K361" s="32"/>
    </row>
    <row r="362" spans="6:11" x14ac:dyDescent="0.25">
      <c r="F362" s="32"/>
      <c r="G362" s="32"/>
      <c r="H362" s="32"/>
      <c r="I362" s="32"/>
      <c r="J362" s="32"/>
      <c r="K362" s="32"/>
    </row>
    <row r="363" spans="6:11" x14ac:dyDescent="0.25">
      <c r="F363" s="32"/>
      <c r="G363" s="32"/>
      <c r="H363" s="32"/>
      <c r="I363" s="32"/>
      <c r="J363" s="32"/>
      <c r="K363" s="32"/>
    </row>
    <row r="364" spans="6:11" x14ac:dyDescent="0.25">
      <c r="F364" s="2" t="s">
        <v>0</v>
      </c>
      <c r="G364" s="4">
        <v>46277</v>
      </c>
      <c r="H364" s="2" t="s">
        <v>2</v>
      </c>
      <c r="I364" s="1" t="s">
        <v>588</v>
      </c>
      <c r="J364" s="2" t="s">
        <v>11</v>
      </c>
      <c r="K364" s="1" t="s">
        <v>14</v>
      </c>
    </row>
    <row r="365" spans="6:11" x14ac:dyDescent="0.25">
      <c r="F365" s="32" t="s">
        <v>1145</v>
      </c>
      <c r="G365" s="32"/>
      <c r="H365" s="32"/>
      <c r="I365" s="32"/>
      <c r="J365" s="32"/>
      <c r="K365" s="32"/>
    </row>
    <row r="366" spans="6:11" x14ac:dyDescent="0.25">
      <c r="F366" s="32"/>
      <c r="G366" s="32"/>
      <c r="H366" s="32"/>
      <c r="I366" s="32"/>
      <c r="J366" s="32"/>
      <c r="K366" s="32"/>
    </row>
    <row r="367" spans="6:11" x14ac:dyDescent="0.25">
      <c r="F367" s="32"/>
      <c r="G367" s="32"/>
      <c r="H367" s="32"/>
      <c r="I367" s="32"/>
      <c r="J367" s="32"/>
      <c r="K367" s="32"/>
    </row>
    <row r="368" spans="6:11" x14ac:dyDescent="0.25">
      <c r="F368" s="32"/>
      <c r="G368" s="32"/>
      <c r="H368" s="32"/>
      <c r="I368" s="32"/>
      <c r="J368" s="32"/>
      <c r="K368" s="32"/>
    </row>
    <row r="369" spans="6:11" x14ac:dyDescent="0.25">
      <c r="F369" s="2" t="s">
        <v>0</v>
      </c>
      <c r="G369" s="4">
        <v>46278</v>
      </c>
      <c r="H369" s="2" t="s">
        <v>2</v>
      </c>
      <c r="I369" s="1" t="s">
        <v>588</v>
      </c>
      <c r="J369" s="2" t="s">
        <v>11</v>
      </c>
      <c r="K369" s="1" t="s">
        <v>14</v>
      </c>
    </row>
    <row r="370" spans="6:11" x14ac:dyDescent="0.25">
      <c r="F370" s="32" t="s">
        <v>1146</v>
      </c>
      <c r="G370" s="32"/>
      <c r="H370" s="32"/>
      <c r="I370" s="32"/>
      <c r="J370" s="32"/>
      <c r="K370" s="32"/>
    </row>
    <row r="371" spans="6:11" x14ac:dyDescent="0.25">
      <c r="F371" s="32"/>
      <c r="G371" s="32"/>
      <c r="H371" s="32"/>
      <c r="I371" s="32"/>
      <c r="J371" s="32"/>
      <c r="K371" s="32"/>
    </row>
    <row r="372" spans="6:11" x14ac:dyDescent="0.25">
      <c r="F372" s="32"/>
      <c r="G372" s="32"/>
      <c r="H372" s="32"/>
      <c r="I372" s="32"/>
      <c r="J372" s="32"/>
      <c r="K372" s="32"/>
    </row>
    <row r="373" spans="6:11" x14ac:dyDescent="0.25">
      <c r="F373" s="32"/>
      <c r="G373" s="32"/>
      <c r="H373" s="32"/>
      <c r="I373" s="32"/>
      <c r="J373" s="32"/>
      <c r="K373" s="32"/>
    </row>
    <row r="374" spans="6:11" x14ac:dyDescent="0.25">
      <c r="F374" s="2" t="s">
        <v>0</v>
      </c>
      <c r="G374" s="4">
        <v>46279</v>
      </c>
      <c r="H374" s="2" t="s">
        <v>2</v>
      </c>
      <c r="I374" s="1" t="s">
        <v>588</v>
      </c>
      <c r="J374" s="2" t="s">
        <v>11</v>
      </c>
      <c r="K374" s="1" t="s">
        <v>14</v>
      </c>
    </row>
    <row r="375" spans="6:11" x14ac:dyDescent="0.25">
      <c r="F375" s="32" t="s">
        <v>1147</v>
      </c>
      <c r="G375" s="32"/>
      <c r="H375" s="32"/>
      <c r="I375" s="32"/>
      <c r="J375" s="32"/>
      <c r="K375" s="32"/>
    </row>
    <row r="376" spans="6:11" x14ac:dyDescent="0.25">
      <c r="F376" s="32"/>
      <c r="G376" s="32"/>
      <c r="H376" s="32"/>
      <c r="I376" s="32"/>
      <c r="J376" s="32"/>
      <c r="K376" s="32"/>
    </row>
    <row r="377" spans="6:11" x14ac:dyDescent="0.25">
      <c r="F377" s="32"/>
      <c r="G377" s="32"/>
      <c r="H377" s="32"/>
      <c r="I377" s="32"/>
      <c r="J377" s="32"/>
      <c r="K377" s="32"/>
    </row>
    <row r="378" spans="6:11" x14ac:dyDescent="0.25">
      <c r="F378" s="32"/>
      <c r="G378" s="32"/>
      <c r="H378" s="32"/>
      <c r="I378" s="32"/>
      <c r="J378" s="32"/>
      <c r="K378" s="32"/>
    </row>
    <row r="379" spans="6:11" x14ac:dyDescent="0.25">
      <c r="F379" s="2" t="s">
        <v>0</v>
      </c>
      <c r="G379" s="4">
        <v>46280</v>
      </c>
      <c r="H379" s="2" t="s">
        <v>2</v>
      </c>
      <c r="I379" s="1" t="s">
        <v>588</v>
      </c>
      <c r="J379" s="2" t="s">
        <v>11</v>
      </c>
      <c r="K379" s="1" t="s">
        <v>14</v>
      </c>
    </row>
    <row r="380" spans="6:11" x14ac:dyDescent="0.25">
      <c r="F380" s="32" t="s">
        <v>1163</v>
      </c>
      <c r="G380" s="32"/>
      <c r="H380" s="32"/>
      <c r="I380" s="32"/>
      <c r="J380" s="32"/>
      <c r="K380" s="32"/>
    </row>
    <row r="381" spans="6:11" x14ac:dyDescent="0.25">
      <c r="F381" s="32"/>
      <c r="G381" s="32"/>
      <c r="H381" s="32"/>
      <c r="I381" s="32"/>
      <c r="J381" s="32"/>
      <c r="K381" s="32"/>
    </row>
    <row r="382" spans="6:11" x14ac:dyDescent="0.25">
      <c r="F382" s="32"/>
      <c r="G382" s="32"/>
      <c r="H382" s="32"/>
      <c r="I382" s="32"/>
      <c r="J382" s="32"/>
      <c r="K382" s="32"/>
    </row>
    <row r="383" spans="6:11" x14ac:dyDescent="0.25">
      <c r="F383" s="32"/>
      <c r="G383" s="32"/>
      <c r="H383" s="32"/>
      <c r="I383" s="32"/>
      <c r="J383" s="32"/>
      <c r="K383" s="32"/>
    </row>
    <row r="384" spans="6:11" x14ac:dyDescent="0.25">
      <c r="F384" s="2" t="s">
        <v>0</v>
      </c>
      <c r="G384" s="4">
        <v>46281</v>
      </c>
      <c r="H384" s="2" t="s">
        <v>2</v>
      </c>
      <c r="I384" s="1" t="s">
        <v>588</v>
      </c>
      <c r="J384" s="2" t="s">
        <v>11</v>
      </c>
      <c r="K384" s="1" t="s">
        <v>14</v>
      </c>
    </row>
    <row r="385" spans="6:11" ht="14.45" customHeight="1" x14ac:dyDescent="0.25">
      <c r="F385" s="32" t="s">
        <v>1164</v>
      </c>
      <c r="G385" s="32"/>
      <c r="H385" s="32"/>
      <c r="I385" s="32"/>
      <c r="J385" s="32"/>
      <c r="K385" s="32"/>
    </row>
    <row r="386" spans="6:11" x14ac:dyDescent="0.25">
      <c r="F386" s="32"/>
      <c r="G386" s="32"/>
      <c r="H386" s="32"/>
      <c r="I386" s="32"/>
      <c r="J386" s="32"/>
      <c r="K386" s="32"/>
    </row>
    <row r="387" spans="6:11" x14ac:dyDescent="0.25">
      <c r="F387" s="32"/>
      <c r="G387" s="32"/>
      <c r="H387" s="32"/>
      <c r="I387" s="32"/>
      <c r="J387" s="32"/>
      <c r="K387" s="32"/>
    </row>
    <row r="388" spans="6:11" x14ac:dyDescent="0.25">
      <c r="F388" s="32"/>
      <c r="G388" s="32"/>
      <c r="H388" s="32"/>
      <c r="I388" s="32"/>
      <c r="J388" s="32"/>
      <c r="K388" s="32"/>
    </row>
    <row r="389" spans="6:11" x14ac:dyDescent="0.25">
      <c r="F389" s="32"/>
      <c r="G389" s="32"/>
      <c r="H389" s="32"/>
      <c r="I389" s="32"/>
      <c r="J389" s="32"/>
      <c r="K389" s="32"/>
    </row>
    <row r="390" spans="6:11" x14ac:dyDescent="0.25">
      <c r="F390" s="32"/>
      <c r="G390" s="32"/>
      <c r="H390" s="32"/>
      <c r="I390" s="32"/>
      <c r="J390" s="32"/>
      <c r="K390" s="32"/>
    </row>
    <row r="391" spans="6:11" x14ac:dyDescent="0.25">
      <c r="F391" s="32"/>
      <c r="G391" s="32"/>
      <c r="H391" s="32"/>
      <c r="I391" s="32"/>
      <c r="J391" s="32"/>
      <c r="K391" s="32"/>
    </row>
    <row r="392" spans="6:11" x14ac:dyDescent="0.25">
      <c r="F392" s="2" t="s">
        <v>0</v>
      </c>
      <c r="G392" s="4">
        <v>46283</v>
      </c>
      <c r="H392" s="2" t="s">
        <v>2</v>
      </c>
      <c r="I392" s="1" t="s">
        <v>588</v>
      </c>
      <c r="J392" s="2" t="s">
        <v>11</v>
      </c>
      <c r="K392" s="1" t="s">
        <v>14</v>
      </c>
    </row>
    <row r="393" spans="6:11" x14ac:dyDescent="0.25">
      <c r="F393" s="32" t="s">
        <v>1193</v>
      </c>
      <c r="G393" s="32"/>
      <c r="H393" s="32"/>
      <c r="I393" s="32"/>
      <c r="J393" s="32"/>
      <c r="K393" s="32"/>
    </row>
    <row r="394" spans="6:11" x14ac:dyDescent="0.25">
      <c r="F394" s="32"/>
      <c r="G394" s="32"/>
      <c r="H394" s="32"/>
      <c r="I394" s="32"/>
      <c r="J394" s="32"/>
      <c r="K394" s="32"/>
    </row>
    <row r="395" spans="6:11" x14ac:dyDescent="0.25">
      <c r="F395" s="32"/>
      <c r="G395" s="32"/>
      <c r="H395" s="32"/>
      <c r="I395" s="32"/>
      <c r="J395" s="32"/>
      <c r="K395" s="32"/>
    </row>
    <row r="396" spans="6:11" x14ac:dyDescent="0.25">
      <c r="F396" s="32"/>
      <c r="G396" s="32"/>
      <c r="H396" s="32"/>
      <c r="I396" s="32"/>
      <c r="J396" s="32"/>
      <c r="K396" s="32"/>
    </row>
    <row r="397" spans="6:11" x14ac:dyDescent="0.25">
      <c r="F397" s="2" t="s">
        <v>0</v>
      </c>
      <c r="G397" s="4">
        <v>46284</v>
      </c>
      <c r="H397" s="2" t="s">
        <v>2</v>
      </c>
      <c r="I397" s="1" t="s">
        <v>588</v>
      </c>
      <c r="J397" s="2" t="s">
        <v>11</v>
      </c>
      <c r="K397" s="1" t="s">
        <v>14</v>
      </c>
    </row>
    <row r="398" spans="6:11" x14ac:dyDescent="0.25">
      <c r="F398" s="32" t="s">
        <v>1202</v>
      </c>
      <c r="G398" s="32"/>
      <c r="H398" s="32"/>
      <c r="I398" s="32"/>
      <c r="J398" s="32"/>
      <c r="K398" s="32"/>
    </row>
    <row r="399" spans="6:11" x14ac:dyDescent="0.25">
      <c r="F399" s="32"/>
      <c r="G399" s="32"/>
      <c r="H399" s="32"/>
      <c r="I399" s="32"/>
      <c r="J399" s="32"/>
      <c r="K399" s="32"/>
    </row>
    <row r="400" spans="6:11" x14ac:dyDescent="0.25">
      <c r="F400" s="2" t="s">
        <v>0</v>
      </c>
      <c r="G400" s="4">
        <v>46285</v>
      </c>
      <c r="H400" s="2" t="s">
        <v>2</v>
      </c>
      <c r="I400" s="1" t="s">
        <v>588</v>
      </c>
      <c r="J400" s="2" t="s">
        <v>11</v>
      </c>
      <c r="K400" s="1" t="s">
        <v>14</v>
      </c>
    </row>
    <row r="401" spans="6:11" ht="14.45" customHeight="1" x14ac:dyDescent="0.25">
      <c r="F401" s="32" t="s">
        <v>1203</v>
      </c>
      <c r="G401" s="32"/>
      <c r="H401" s="32"/>
      <c r="I401" s="32"/>
      <c r="J401" s="32"/>
      <c r="K401" s="32"/>
    </row>
    <row r="402" spans="6:11" x14ac:dyDescent="0.25">
      <c r="F402" s="32"/>
      <c r="G402" s="32"/>
      <c r="H402" s="32"/>
      <c r="I402" s="32"/>
      <c r="J402" s="32"/>
      <c r="K402" s="32"/>
    </row>
    <row r="403" spans="6:11" x14ac:dyDescent="0.25">
      <c r="F403" s="32"/>
      <c r="G403" s="32"/>
      <c r="H403" s="32"/>
      <c r="I403" s="32"/>
      <c r="J403" s="32"/>
      <c r="K403" s="32"/>
    </row>
    <row r="404" spans="6:11" x14ac:dyDescent="0.25">
      <c r="F404" s="32"/>
      <c r="G404" s="32"/>
      <c r="H404" s="32"/>
      <c r="I404" s="32"/>
      <c r="J404" s="32"/>
      <c r="K404" s="32"/>
    </row>
  </sheetData>
  <mergeCells count="87">
    <mergeCell ref="F398:K399"/>
    <mergeCell ref="F401:K404"/>
    <mergeCell ref="F393:K396"/>
    <mergeCell ref="F300:K303"/>
    <mergeCell ref="F210:K212"/>
    <mergeCell ref="F285:K288"/>
    <mergeCell ref="F290:K293"/>
    <mergeCell ref="F243:K245"/>
    <mergeCell ref="F255:K258"/>
    <mergeCell ref="F260:K263"/>
    <mergeCell ref="F247:K249"/>
    <mergeCell ref="F305:K308"/>
    <mergeCell ref="F310:K313"/>
    <mergeCell ref="F330:K333"/>
    <mergeCell ref="F325:K328"/>
    <mergeCell ref="F315:K318"/>
    <mergeCell ref="F239:K241"/>
    <mergeCell ref="F214:K216"/>
    <mergeCell ref="F218:K220"/>
    <mergeCell ref="F227:K229"/>
    <mergeCell ref="F222:K225"/>
    <mergeCell ref="F231:K233"/>
    <mergeCell ref="F235:K237"/>
    <mergeCell ref="F190:K192"/>
    <mergeCell ref="F194:K196"/>
    <mergeCell ref="F174:K176"/>
    <mergeCell ref="F198:K200"/>
    <mergeCell ref="F206:K208"/>
    <mergeCell ref="F186:K188"/>
    <mergeCell ref="F178:K180"/>
    <mergeCell ref="F182:K184"/>
    <mergeCell ref="F202:K204"/>
    <mergeCell ref="F154:K156"/>
    <mergeCell ref="F148:K152"/>
    <mergeCell ref="F158:K160"/>
    <mergeCell ref="F170:K172"/>
    <mergeCell ref="F162:K164"/>
    <mergeCell ref="F166:K168"/>
    <mergeCell ref="F117:K119"/>
    <mergeCell ref="F121:K123"/>
    <mergeCell ref="F144:K146"/>
    <mergeCell ref="F133:K142"/>
    <mergeCell ref="F125:K127"/>
    <mergeCell ref="F129:K131"/>
    <mergeCell ref="U1:V1"/>
    <mergeCell ref="F1:K1"/>
    <mergeCell ref="F17:K26"/>
    <mergeCell ref="F28:K37"/>
    <mergeCell ref="F6:K15"/>
    <mergeCell ref="F3:K4"/>
    <mergeCell ref="M1:P1"/>
    <mergeCell ref="R1:S1"/>
    <mergeCell ref="F39:K41"/>
    <mergeCell ref="F43:K45"/>
    <mergeCell ref="F62:K64"/>
    <mergeCell ref="F58:K60"/>
    <mergeCell ref="F47:K56"/>
    <mergeCell ref="F66:K68"/>
    <mergeCell ref="F113:K115"/>
    <mergeCell ref="F105:K107"/>
    <mergeCell ref="F109:K111"/>
    <mergeCell ref="F101:K103"/>
    <mergeCell ref="F95:K99"/>
    <mergeCell ref="F91:K93"/>
    <mergeCell ref="F79:K81"/>
    <mergeCell ref="F83:K85"/>
    <mergeCell ref="F87:K89"/>
    <mergeCell ref="F73:K77"/>
    <mergeCell ref="F70:K71"/>
    <mergeCell ref="F320:K323"/>
    <mergeCell ref="F251:K253"/>
    <mergeCell ref="F265:K268"/>
    <mergeCell ref="F295:K298"/>
    <mergeCell ref="F270:K273"/>
    <mergeCell ref="F275:K278"/>
    <mergeCell ref="F280:K283"/>
    <mergeCell ref="F385:K391"/>
    <mergeCell ref="F370:K373"/>
    <mergeCell ref="F375:K378"/>
    <mergeCell ref="F335:K338"/>
    <mergeCell ref="F340:K343"/>
    <mergeCell ref="F345:K348"/>
    <mergeCell ref="F350:K353"/>
    <mergeCell ref="F360:K363"/>
    <mergeCell ref="F365:K368"/>
    <mergeCell ref="F355:K358"/>
    <mergeCell ref="F380:K38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3B374-6F45-4835-ACCB-95622EEC11E5}">
  <dimension ref="A1:V72"/>
  <sheetViews>
    <sheetView topLeftCell="A46" workbookViewId="0">
      <selection activeCell="M71" sqref="M71"/>
    </sheetView>
  </sheetViews>
  <sheetFormatPr baseColWidth="10" defaultRowHeight="15" x14ac:dyDescent="0.25"/>
  <cols>
    <col min="1" max="1" width="11.5703125" style="7"/>
    <col min="2" max="2" width="40.28515625" style="7" bestFit="1" customWidth="1"/>
    <col min="3" max="3" width="11.5703125" style="7"/>
    <col min="4" max="4" width="22.7109375" style="7" bestFit="1" customWidth="1"/>
    <col min="18" max="18" width="21.28515625" bestFit="1" customWidth="1"/>
    <col min="19" max="19" width="20.710937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ht="14.45" customHeight="1" x14ac:dyDescent="0.25">
      <c r="A2" s="6">
        <v>46198</v>
      </c>
      <c r="B2" s="7" t="s">
        <v>444</v>
      </c>
      <c r="C2" s="7" t="s">
        <v>9</v>
      </c>
      <c r="D2" s="7" t="s">
        <v>10</v>
      </c>
      <c r="F2" s="2" t="s">
        <v>0</v>
      </c>
      <c r="G2" s="4">
        <v>46198</v>
      </c>
      <c r="H2" s="2" t="s">
        <v>2</v>
      </c>
      <c r="I2" s="1" t="s">
        <v>22</v>
      </c>
      <c r="J2" s="2" t="s">
        <v>11</v>
      </c>
      <c r="K2" s="1" t="s">
        <v>14</v>
      </c>
      <c r="M2" s="2" t="s">
        <v>0</v>
      </c>
      <c r="N2" s="1"/>
      <c r="O2" s="2" t="s">
        <v>6</v>
      </c>
      <c r="P2" s="1"/>
      <c r="R2" s="2" t="s">
        <v>11</v>
      </c>
      <c r="S2" s="8" t="s">
        <v>139</v>
      </c>
      <c r="U2" s="3" t="s">
        <v>0</v>
      </c>
      <c r="V2" s="3" t="s">
        <v>88</v>
      </c>
    </row>
    <row r="3" spans="1:22" x14ac:dyDescent="0.25">
      <c r="A3" s="6">
        <v>46202</v>
      </c>
      <c r="B3" s="7" t="s">
        <v>336</v>
      </c>
      <c r="C3" s="7" t="s">
        <v>31</v>
      </c>
      <c r="D3" s="7" t="s">
        <v>337</v>
      </c>
      <c r="F3" s="32" t="s">
        <v>74</v>
      </c>
      <c r="G3" s="32"/>
      <c r="H3" s="32"/>
      <c r="I3" s="32"/>
      <c r="J3" s="32"/>
      <c r="K3" s="32"/>
      <c r="R3" s="2" t="s">
        <v>76</v>
      </c>
      <c r="S3" s="8" t="s">
        <v>140</v>
      </c>
    </row>
    <row r="4" spans="1:22" x14ac:dyDescent="0.25">
      <c r="A4" s="6">
        <v>46204</v>
      </c>
      <c r="B4" s="7" t="s">
        <v>356</v>
      </c>
      <c r="C4" s="7" t="s">
        <v>9</v>
      </c>
      <c r="D4" s="7" t="s">
        <v>56</v>
      </c>
      <c r="F4" s="32"/>
      <c r="G4" s="32"/>
      <c r="H4" s="32"/>
      <c r="I4" s="32"/>
      <c r="J4" s="32"/>
      <c r="K4" s="32"/>
      <c r="R4" s="2" t="s">
        <v>77</v>
      </c>
      <c r="S4" s="8"/>
    </row>
    <row r="5" spans="1:22" x14ac:dyDescent="0.25">
      <c r="A5" s="6">
        <v>46210</v>
      </c>
      <c r="B5" s="7" t="s">
        <v>443</v>
      </c>
      <c r="C5" s="7" t="s">
        <v>18</v>
      </c>
      <c r="D5" s="7" t="s">
        <v>56</v>
      </c>
      <c r="F5" s="2" t="s">
        <v>0</v>
      </c>
      <c r="G5" s="4">
        <v>46204</v>
      </c>
      <c r="H5" s="2" t="s">
        <v>2</v>
      </c>
      <c r="I5" s="1" t="s">
        <v>22</v>
      </c>
      <c r="J5" s="2" t="s">
        <v>11</v>
      </c>
      <c r="K5" s="1" t="s">
        <v>14</v>
      </c>
      <c r="R5" s="2" t="s">
        <v>78</v>
      </c>
      <c r="S5" s="8" t="s">
        <v>101</v>
      </c>
    </row>
    <row r="6" spans="1:22" x14ac:dyDescent="0.25">
      <c r="A6" s="6">
        <v>46210</v>
      </c>
      <c r="B6" s="7" t="s">
        <v>444</v>
      </c>
      <c r="C6" s="7" t="s">
        <v>9</v>
      </c>
      <c r="D6" s="7" t="s">
        <v>445</v>
      </c>
      <c r="F6" s="32" t="s">
        <v>355</v>
      </c>
      <c r="G6" s="32"/>
      <c r="H6" s="32"/>
      <c r="I6" s="32"/>
      <c r="J6" s="32"/>
      <c r="K6" s="32"/>
      <c r="R6" s="2" t="s">
        <v>92</v>
      </c>
      <c r="S6" s="8" t="s">
        <v>142</v>
      </c>
    </row>
    <row r="7" spans="1:22" x14ac:dyDescent="0.25">
      <c r="A7" s="6">
        <v>46216</v>
      </c>
      <c r="B7" s="7" t="s">
        <v>509</v>
      </c>
      <c r="C7" s="7" t="s">
        <v>9</v>
      </c>
      <c r="D7" s="7" t="s">
        <v>56</v>
      </c>
      <c r="F7" s="32"/>
      <c r="G7" s="32"/>
      <c r="H7" s="32"/>
      <c r="I7" s="32"/>
      <c r="J7" s="32"/>
      <c r="K7" s="32"/>
      <c r="R7" s="2" t="s">
        <v>80</v>
      </c>
      <c r="S7" s="8" t="s">
        <v>141</v>
      </c>
    </row>
    <row r="8" spans="1:22" x14ac:dyDescent="0.25">
      <c r="A8" s="6">
        <v>46227</v>
      </c>
      <c r="B8" s="7" t="s">
        <v>420</v>
      </c>
      <c r="C8" s="7" t="s">
        <v>15</v>
      </c>
      <c r="D8" s="7" t="s">
        <v>56</v>
      </c>
      <c r="F8" s="2" t="s">
        <v>0</v>
      </c>
      <c r="G8" s="4">
        <v>46210</v>
      </c>
      <c r="H8" s="2" t="s">
        <v>2</v>
      </c>
      <c r="I8" s="1" t="s">
        <v>418</v>
      </c>
      <c r="J8" s="2" t="s">
        <v>11</v>
      </c>
      <c r="K8" s="1" t="s">
        <v>14</v>
      </c>
      <c r="R8" s="2" t="s">
        <v>81</v>
      </c>
      <c r="S8" s="8" t="s">
        <v>93</v>
      </c>
    </row>
    <row r="9" spans="1:22" x14ac:dyDescent="0.25">
      <c r="A9" s="6">
        <v>46231</v>
      </c>
      <c r="B9" s="7" t="s">
        <v>444</v>
      </c>
      <c r="C9" s="7" t="s">
        <v>9</v>
      </c>
      <c r="D9" s="7" t="s">
        <v>672</v>
      </c>
      <c r="F9" s="32" t="s">
        <v>442</v>
      </c>
      <c r="G9" s="32"/>
      <c r="H9" s="32"/>
      <c r="I9" s="32"/>
      <c r="J9" s="32"/>
      <c r="K9" s="32"/>
      <c r="R9" s="2" t="s">
        <v>82</v>
      </c>
      <c r="S9" s="8">
        <f>S10+S11</f>
        <v>0.1804</v>
      </c>
    </row>
    <row r="10" spans="1:22" x14ac:dyDescent="0.25">
      <c r="A10" s="6">
        <v>46231</v>
      </c>
      <c r="B10" s="7" t="s">
        <v>691</v>
      </c>
      <c r="C10" s="7" t="s">
        <v>15</v>
      </c>
      <c r="D10" s="7" t="s">
        <v>692</v>
      </c>
      <c r="F10" s="32"/>
      <c r="G10" s="32"/>
      <c r="H10" s="32"/>
      <c r="I10" s="32"/>
      <c r="J10" s="32"/>
      <c r="K10" s="32"/>
      <c r="R10" s="2" t="s">
        <v>83</v>
      </c>
      <c r="S10" s="8">
        <v>0.16289999999999999</v>
      </c>
    </row>
    <row r="11" spans="1:22" x14ac:dyDescent="0.25">
      <c r="A11" s="6">
        <v>46231</v>
      </c>
      <c r="B11" s="7" t="s">
        <v>48</v>
      </c>
      <c r="C11" s="7" t="s">
        <v>9</v>
      </c>
      <c r="D11" s="7">
        <v>500</v>
      </c>
      <c r="F11" s="2" t="s">
        <v>0</v>
      </c>
      <c r="G11" s="4">
        <v>46214</v>
      </c>
      <c r="H11" s="2" t="s">
        <v>2</v>
      </c>
      <c r="I11" s="1" t="s">
        <v>47</v>
      </c>
      <c r="J11" s="2" t="s">
        <v>11</v>
      </c>
      <c r="K11" s="1" t="s">
        <v>14</v>
      </c>
      <c r="R11" s="2" t="s">
        <v>84</v>
      </c>
      <c r="S11" s="10">
        <v>1.7500000000000002E-2</v>
      </c>
    </row>
    <row r="12" spans="1:22" x14ac:dyDescent="0.25">
      <c r="A12" s="6">
        <v>46241</v>
      </c>
      <c r="B12" s="7" t="s">
        <v>819</v>
      </c>
      <c r="C12" s="7" t="s">
        <v>624</v>
      </c>
      <c r="D12" s="7" t="s">
        <v>56</v>
      </c>
      <c r="F12" s="32" t="s">
        <v>500</v>
      </c>
      <c r="G12" s="32"/>
      <c r="H12" s="32"/>
      <c r="I12" s="32"/>
      <c r="J12" s="32"/>
      <c r="K12" s="32"/>
      <c r="R12" s="2" t="s">
        <v>115</v>
      </c>
      <c r="S12" s="8"/>
    </row>
    <row r="13" spans="1:22" x14ac:dyDescent="0.25">
      <c r="A13" s="6">
        <v>46242</v>
      </c>
      <c r="B13" s="7" t="s">
        <v>824</v>
      </c>
      <c r="C13" s="7" t="s">
        <v>624</v>
      </c>
      <c r="D13" s="7" t="s">
        <v>56</v>
      </c>
      <c r="F13" s="32"/>
      <c r="G13" s="32"/>
      <c r="H13" s="32"/>
      <c r="I13" s="32"/>
      <c r="J13" s="32"/>
      <c r="K13" s="32"/>
      <c r="R13" s="2" t="s">
        <v>85</v>
      </c>
      <c r="S13" s="8">
        <f>S10</f>
        <v>0.16289999999999999</v>
      </c>
    </row>
    <row r="14" spans="1:22" x14ac:dyDescent="0.25">
      <c r="A14" s="6">
        <v>46243</v>
      </c>
      <c r="B14" s="7" t="s">
        <v>837</v>
      </c>
      <c r="C14" s="7" t="s">
        <v>35</v>
      </c>
      <c r="D14" s="7" t="s">
        <v>416</v>
      </c>
      <c r="F14" s="2" t="s">
        <v>0</v>
      </c>
      <c r="G14" s="4">
        <v>46216</v>
      </c>
      <c r="H14" s="2" t="s">
        <v>2</v>
      </c>
      <c r="I14" s="1" t="s">
        <v>22</v>
      </c>
      <c r="J14" s="2" t="s">
        <v>11</v>
      </c>
      <c r="K14" s="1" t="s">
        <v>14</v>
      </c>
      <c r="R14" s="2" t="s">
        <v>86</v>
      </c>
      <c r="S14" s="10">
        <f>S13*12.032</f>
        <v>1.9600127999999999</v>
      </c>
    </row>
    <row r="15" spans="1:22" ht="14.45" customHeight="1" x14ac:dyDescent="0.25">
      <c r="A15" s="6">
        <v>46244</v>
      </c>
      <c r="B15" s="7" t="s">
        <v>799</v>
      </c>
      <c r="C15" s="7" t="s">
        <v>9</v>
      </c>
      <c r="D15" s="7" t="s">
        <v>841</v>
      </c>
      <c r="F15" s="32" t="s">
        <v>508</v>
      </c>
      <c r="G15" s="32"/>
      <c r="H15" s="32"/>
      <c r="I15" s="32"/>
      <c r="J15" s="32"/>
      <c r="K15" s="32"/>
    </row>
    <row r="16" spans="1:22" x14ac:dyDescent="0.25">
      <c r="A16" s="6">
        <v>46244</v>
      </c>
      <c r="B16" s="7" t="s">
        <v>768</v>
      </c>
      <c r="C16" s="7" t="s">
        <v>9</v>
      </c>
      <c r="D16" s="7" t="s">
        <v>56</v>
      </c>
      <c r="F16" s="32"/>
      <c r="G16" s="32"/>
      <c r="H16" s="32"/>
      <c r="I16" s="32"/>
      <c r="J16" s="32"/>
      <c r="K16" s="32"/>
    </row>
    <row r="17" spans="1:11" x14ac:dyDescent="0.25">
      <c r="A17" s="6">
        <v>46245</v>
      </c>
      <c r="B17" s="7" t="s">
        <v>866</v>
      </c>
      <c r="C17" s="7" t="s">
        <v>31</v>
      </c>
      <c r="D17" s="7" t="s">
        <v>56</v>
      </c>
      <c r="F17" s="32"/>
      <c r="G17" s="32"/>
      <c r="H17" s="32"/>
      <c r="I17" s="32"/>
      <c r="J17" s="32"/>
      <c r="K17" s="32"/>
    </row>
    <row r="18" spans="1:11" x14ac:dyDescent="0.25">
      <c r="A18" s="6">
        <v>46246</v>
      </c>
      <c r="B18" s="7" t="s">
        <v>874</v>
      </c>
      <c r="C18" s="7" t="s">
        <v>22</v>
      </c>
      <c r="D18" s="7" t="s">
        <v>56</v>
      </c>
      <c r="F18" s="2" t="s">
        <v>0</v>
      </c>
      <c r="G18" s="4">
        <v>46227</v>
      </c>
      <c r="H18" s="2" t="s">
        <v>2</v>
      </c>
      <c r="I18" s="1" t="s">
        <v>350</v>
      </c>
      <c r="J18" s="2" t="s">
        <v>11</v>
      </c>
      <c r="K18" s="1" t="s">
        <v>14</v>
      </c>
    </row>
    <row r="19" spans="1:11" x14ac:dyDescent="0.25">
      <c r="A19" s="6">
        <v>46251</v>
      </c>
      <c r="B19" s="7" t="s">
        <v>909</v>
      </c>
      <c r="C19" s="7" t="s">
        <v>47</v>
      </c>
      <c r="D19" s="7" t="s">
        <v>56</v>
      </c>
      <c r="F19" s="32" t="s">
        <v>633</v>
      </c>
      <c r="G19" s="32"/>
      <c r="H19" s="32"/>
      <c r="I19" s="32"/>
      <c r="J19" s="32"/>
      <c r="K19" s="32"/>
    </row>
    <row r="20" spans="1:11" x14ac:dyDescent="0.25">
      <c r="A20" s="6">
        <v>46253</v>
      </c>
      <c r="B20" s="7" t="s">
        <v>444</v>
      </c>
      <c r="C20" s="7" t="s">
        <v>9</v>
      </c>
      <c r="D20" s="7" t="s">
        <v>925</v>
      </c>
      <c r="F20" s="32"/>
      <c r="G20" s="32"/>
      <c r="H20" s="32"/>
      <c r="I20" s="32"/>
      <c r="J20" s="32"/>
      <c r="K20" s="32"/>
    </row>
    <row r="21" spans="1:11" x14ac:dyDescent="0.25">
      <c r="A21" s="6">
        <v>46255</v>
      </c>
      <c r="B21" s="7" t="s">
        <v>947</v>
      </c>
      <c r="C21" s="7" t="s">
        <v>624</v>
      </c>
      <c r="D21" s="7" t="s">
        <v>56</v>
      </c>
      <c r="F21" s="2" t="s">
        <v>0</v>
      </c>
      <c r="G21" s="4">
        <v>46231</v>
      </c>
      <c r="H21" s="2" t="s">
        <v>2</v>
      </c>
      <c r="I21" s="1" t="s">
        <v>350</v>
      </c>
      <c r="J21" s="2" t="s">
        <v>11</v>
      </c>
      <c r="K21" s="1" t="s">
        <v>14</v>
      </c>
    </row>
    <row r="22" spans="1:11" x14ac:dyDescent="0.25">
      <c r="A22" s="6">
        <v>46264</v>
      </c>
      <c r="B22" s="7" t="s">
        <v>947</v>
      </c>
      <c r="C22" s="7" t="s">
        <v>999</v>
      </c>
      <c r="D22" s="7" t="s">
        <v>56</v>
      </c>
      <c r="F22" s="32" t="s">
        <v>690</v>
      </c>
      <c r="G22" s="32"/>
      <c r="H22" s="32"/>
      <c r="I22" s="32"/>
      <c r="J22" s="32"/>
      <c r="K22" s="32"/>
    </row>
    <row r="23" spans="1:11" x14ac:dyDescent="0.25">
      <c r="A23" s="6">
        <v>46265</v>
      </c>
      <c r="B23" s="7" t="s">
        <v>343</v>
      </c>
      <c r="C23" s="7" t="s">
        <v>344</v>
      </c>
      <c r="D23" s="7" t="s">
        <v>1029</v>
      </c>
      <c r="F23" s="32"/>
      <c r="G23" s="32"/>
      <c r="H23" s="32"/>
      <c r="I23" s="32"/>
      <c r="J23" s="32"/>
      <c r="K23" s="32"/>
    </row>
    <row r="24" spans="1:11" x14ac:dyDescent="0.25">
      <c r="A24" s="6">
        <v>46272</v>
      </c>
      <c r="B24" s="7" t="s">
        <v>1089</v>
      </c>
      <c r="C24" s="7" t="s">
        <v>31</v>
      </c>
      <c r="D24" s="7" t="s">
        <v>1090</v>
      </c>
      <c r="F24" s="2" t="s">
        <v>0</v>
      </c>
      <c r="G24" s="4">
        <v>46241</v>
      </c>
      <c r="H24" s="2" t="s">
        <v>2</v>
      </c>
      <c r="I24" s="1" t="s">
        <v>385</v>
      </c>
      <c r="J24" s="2" t="s">
        <v>11</v>
      </c>
      <c r="K24" s="1" t="s">
        <v>14</v>
      </c>
    </row>
    <row r="25" spans="1:11" x14ac:dyDescent="0.25">
      <c r="A25" s="6">
        <v>46272</v>
      </c>
      <c r="B25" s="7" t="s">
        <v>444</v>
      </c>
      <c r="C25" s="7" t="s">
        <v>9</v>
      </c>
      <c r="D25" s="7" t="s">
        <v>1092</v>
      </c>
      <c r="F25" s="32" t="s">
        <v>818</v>
      </c>
      <c r="G25" s="32"/>
      <c r="H25" s="32"/>
      <c r="I25" s="32"/>
      <c r="J25" s="32"/>
      <c r="K25" s="32"/>
    </row>
    <row r="26" spans="1:11" x14ac:dyDescent="0.25">
      <c r="A26" s="6">
        <v>46279</v>
      </c>
      <c r="B26" s="7" t="s">
        <v>1154</v>
      </c>
      <c r="C26" s="7" t="s">
        <v>22</v>
      </c>
      <c r="D26" s="7" t="s">
        <v>56</v>
      </c>
      <c r="F26" s="32"/>
      <c r="G26" s="32"/>
      <c r="H26" s="32"/>
      <c r="I26" s="32"/>
      <c r="J26" s="32"/>
      <c r="K26" s="32"/>
    </row>
    <row r="27" spans="1:11" x14ac:dyDescent="0.25">
      <c r="A27" s="6">
        <v>46287</v>
      </c>
      <c r="B27" s="7" t="s">
        <v>1102</v>
      </c>
      <c r="C27" s="7" t="s">
        <v>22</v>
      </c>
      <c r="D27" s="7" t="s">
        <v>1234</v>
      </c>
      <c r="F27" s="2" t="s">
        <v>0</v>
      </c>
      <c r="G27" s="4">
        <v>46242</v>
      </c>
      <c r="H27" s="2" t="s">
        <v>2</v>
      </c>
      <c r="I27" s="1" t="s">
        <v>47</v>
      </c>
      <c r="J27" s="2" t="s">
        <v>11</v>
      </c>
      <c r="K27" s="1" t="s">
        <v>14</v>
      </c>
    </row>
    <row r="28" spans="1:11" x14ac:dyDescent="0.25">
      <c r="F28" s="32" t="s">
        <v>823</v>
      </c>
      <c r="G28" s="32"/>
      <c r="H28" s="32"/>
      <c r="I28" s="32"/>
      <c r="J28" s="32"/>
      <c r="K28" s="32"/>
    </row>
    <row r="29" spans="1:11" x14ac:dyDescent="0.25">
      <c r="F29" s="32"/>
      <c r="G29" s="32"/>
      <c r="H29" s="32"/>
      <c r="I29" s="32"/>
      <c r="J29" s="32"/>
      <c r="K29" s="32"/>
    </row>
    <row r="30" spans="1:11" x14ac:dyDescent="0.25">
      <c r="F30" s="2" t="s">
        <v>0</v>
      </c>
      <c r="G30" s="4">
        <v>46243</v>
      </c>
      <c r="H30" s="2" t="s">
        <v>2</v>
      </c>
      <c r="I30" s="1" t="s">
        <v>35</v>
      </c>
      <c r="J30" s="2" t="s">
        <v>11</v>
      </c>
      <c r="K30" s="1" t="s">
        <v>14</v>
      </c>
    </row>
    <row r="31" spans="1:11" x14ac:dyDescent="0.25">
      <c r="F31" s="32" t="s">
        <v>836</v>
      </c>
      <c r="G31" s="32"/>
      <c r="H31" s="32"/>
      <c r="I31" s="32"/>
      <c r="J31" s="32"/>
      <c r="K31" s="32"/>
    </row>
    <row r="32" spans="1:11" x14ac:dyDescent="0.25">
      <c r="F32" s="32"/>
      <c r="G32" s="32"/>
      <c r="H32" s="32"/>
      <c r="I32" s="32"/>
      <c r="J32" s="32"/>
      <c r="K32" s="32"/>
    </row>
    <row r="33" spans="6:11" x14ac:dyDescent="0.25">
      <c r="F33" s="2" t="s">
        <v>0</v>
      </c>
      <c r="G33" s="4">
        <v>46244</v>
      </c>
      <c r="H33" s="2" t="s">
        <v>2</v>
      </c>
      <c r="I33" s="1" t="s">
        <v>22</v>
      </c>
      <c r="J33" s="2" t="s">
        <v>11</v>
      </c>
      <c r="K33" s="1" t="s">
        <v>14</v>
      </c>
    </row>
    <row r="34" spans="6:11" ht="14.45" customHeight="1" x14ac:dyDescent="0.25">
      <c r="F34" s="32" t="s">
        <v>848</v>
      </c>
      <c r="G34" s="32"/>
      <c r="H34" s="32"/>
      <c r="I34" s="32"/>
      <c r="J34" s="32"/>
      <c r="K34" s="32"/>
    </row>
    <row r="35" spans="6:11" x14ac:dyDescent="0.25">
      <c r="F35" s="32"/>
      <c r="G35" s="32"/>
      <c r="H35" s="32"/>
      <c r="I35" s="32"/>
      <c r="J35" s="32"/>
      <c r="K35" s="32"/>
    </row>
    <row r="36" spans="6:11" x14ac:dyDescent="0.25">
      <c r="F36" s="32"/>
      <c r="G36" s="32"/>
      <c r="H36" s="32"/>
      <c r="I36" s="32"/>
      <c r="J36" s="32"/>
      <c r="K36" s="32"/>
    </row>
    <row r="37" spans="6:11" x14ac:dyDescent="0.25">
      <c r="F37" s="32"/>
      <c r="G37" s="32"/>
      <c r="H37" s="32"/>
      <c r="I37" s="32"/>
      <c r="J37" s="32"/>
      <c r="K37" s="32"/>
    </row>
    <row r="38" spans="6:11" x14ac:dyDescent="0.25">
      <c r="F38" s="2" t="s">
        <v>0</v>
      </c>
      <c r="G38" s="4">
        <v>46246</v>
      </c>
      <c r="H38" s="2" t="s">
        <v>2</v>
      </c>
      <c r="I38" s="1" t="s">
        <v>22</v>
      </c>
      <c r="J38" s="2" t="s">
        <v>11</v>
      </c>
      <c r="K38" s="1" t="s">
        <v>14</v>
      </c>
    </row>
    <row r="39" spans="6:11" x14ac:dyDescent="0.25">
      <c r="F39" s="32" t="s">
        <v>877</v>
      </c>
      <c r="G39" s="32"/>
      <c r="H39" s="32"/>
      <c r="I39" s="32"/>
      <c r="J39" s="32"/>
      <c r="K39" s="32"/>
    </row>
    <row r="40" spans="6:11" x14ac:dyDescent="0.25">
      <c r="F40" s="32"/>
      <c r="G40" s="32"/>
      <c r="H40" s="32"/>
      <c r="I40" s="32"/>
      <c r="J40" s="32"/>
      <c r="K40" s="32"/>
    </row>
    <row r="41" spans="6:11" x14ac:dyDescent="0.25">
      <c r="F41" s="2" t="s">
        <v>0</v>
      </c>
      <c r="G41" s="4">
        <v>46251</v>
      </c>
      <c r="H41" s="2" t="s">
        <v>2</v>
      </c>
      <c r="I41" s="1" t="s">
        <v>47</v>
      </c>
      <c r="J41" s="2" t="s">
        <v>11</v>
      </c>
      <c r="K41" s="1" t="s">
        <v>14</v>
      </c>
    </row>
    <row r="42" spans="6:11" ht="14.45" customHeight="1" x14ac:dyDescent="0.25">
      <c r="F42" s="32" t="s">
        <v>910</v>
      </c>
      <c r="G42" s="32"/>
      <c r="H42" s="32"/>
      <c r="I42" s="32"/>
      <c r="J42" s="32"/>
      <c r="K42" s="32"/>
    </row>
    <row r="43" spans="6:11" x14ac:dyDescent="0.25">
      <c r="F43" s="32"/>
      <c r="G43" s="32"/>
      <c r="H43" s="32"/>
      <c r="I43" s="32"/>
      <c r="J43" s="32"/>
      <c r="K43" s="32"/>
    </row>
    <row r="44" spans="6:11" x14ac:dyDescent="0.25">
      <c r="F44" s="32"/>
      <c r="G44" s="32"/>
      <c r="H44" s="32"/>
      <c r="I44" s="32"/>
      <c r="J44" s="32"/>
      <c r="K44" s="32"/>
    </row>
    <row r="45" spans="6:11" x14ac:dyDescent="0.25">
      <c r="F45" s="32"/>
      <c r="G45" s="32"/>
      <c r="H45" s="32"/>
      <c r="I45" s="32"/>
      <c r="J45" s="32"/>
      <c r="K45" s="32"/>
    </row>
    <row r="46" spans="6:11" x14ac:dyDescent="0.25">
      <c r="F46" s="2" t="s">
        <v>0</v>
      </c>
      <c r="G46" s="4">
        <v>46253</v>
      </c>
      <c r="H46" s="2" t="s">
        <v>2</v>
      </c>
      <c r="I46" s="1" t="s">
        <v>22</v>
      </c>
      <c r="J46" s="2" t="s">
        <v>11</v>
      </c>
      <c r="K46" s="1" t="s">
        <v>14</v>
      </c>
    </row>
    <row r="47" spans="6:11" x14ac:dyDescent="0.25">
      <c r="F47" s="32" t="s">
        <v>926</v>
      </c>
      <c r="G47" s="32"/>
      <c r="H47" s="32"/>
      <c r="I47" s="32"/>
      <c r="J47" s="32"/>
      <c r="K47" s="32"/>
    </row>
    <row r="48" spans="6:11" x14ac:dyDescent="0.25">
      <c r="F48" s="32"/>
      <c r="G48" s="32"/>
      <c r="H48" s="32"/>
      <c r="I48" s="32"/>
      <c r="J48" s="32"/>
      <c r="K48" s="32"/>
    </row>
    <row r="49" spans="6:11" x14ac:dyDescent="0.25">
      <c r="F49" s="32"/>
      <c r="G49" s="32"/>
      <c r="H49" s="32"/>
      <c r="I49" s="32"/>
      <c r="J49" s="32"/>
      <c r="K49" s="32"/>
    </row>
    <row r="50" spans="6:11" x14ac:dyDescent="0.25">
      <c r="F50" s="32"/>
      <c r="G50" s="32"/>
      <c r="H50" s="32"/>
      <c r="I50" s="32"/>
      <c r="J50" s="32"/>
      <c r="K50" s="32"/>
    </row>
    <row r="51" spans="6:11" x14ac:dyDescent="0.25">
      <c r="F51" s="2" t="s">
        <v>0</v>
      </c>
      <c r="G51" s="4">
        <v>46255</v>
      </c>
      <c r="H51" s="2" t="s">
        <v>2</v>
      </c>
      <c r="I51" s="1" t="s">
        <v>385</v>
      </c>
      <c r="J51" s="2" t="s">
        <v>11</v>
      </c>
      <c r="K51" s="1" t="s">
        <v>14</v>
      </c>
    </row>
    <row r="52" spans="6:11" x14ac:dyDescent="0.25">
      <c r="F52" s="32" t="s">
        <v>948</v>
      </c>
      <c r="G52" s="32"/>
      <c r="H52" s="32"/>
      <c r="I52" s="32"/>
      <c r="J52" s="32"/>
      <c r="K52" s="32"/>
    </row>
    <row r="53" spans="6:11" x14ac:dyDescent="0.25">
      <c r="F53" s="32"/>
      <c r="G53" s="32"/>
      <c r="H53" s="32"/>
      <c r="I53" s="32"/>
      <c r="J53" s="32"/>
      <c r="K53" s="32"/>
    </row>
    <row r="54" spans="6:11" x14ac:dyDescent="0.25">
      <c r="F54" s="2" t="s">
        <v>0</v>
      </c>
      <c r="G54" s="4">
        <v>46264</v>
      </c>
      <c r="H54" s="2" t="s">
        <v>2</v>
      </c>
      <c r="I54" s="1" t="s">
        <v>16</v>
      </c>
      <c r="J54" s="2" t="s">
        <v>11</v>
      </c>
      <c r="K54" s="1" t="s">
        <v>14</v>
      </c>
    </row>
    <row r="55" spans="6:11" ht="14.45" customHeight="1" x14ac:dyDescent="0.25">
      <c r="F55" s="32" t="s">
        <v>1016</v>
      </c>
      <c r="G55" s="32"/>
      <c r="H55" s="32"/>
      <c r="I55" s="32"/>
      <c r="J55" s="32"/>
      <c r="K55" s="32"/>
    </row>
    <row r="56" spans="6:11" x14ac:dyDescent="0.25">
      <c r="F56" s="32"/>
      <c r="G56" s="32"/>
      <c r="H56" s="32"/>
      <c r="I56" s="32"/>
      <c r="J56" s="32"/>
      <c r="K56" s="32"/>
    </row>
    <row r="57" spans="6:11" x14ac:dyDescent="0.25">
      <c r="F57" s="32"/>
      <c r="G57" s="32"/>
      <c r="H57" s="32"/>
      <c r="I57" s="32"/>
      <c r="J57" s="32"/>
      <c r="K57" s="32"/>
    </row>
    <row r="58" spans="6:11" x14ac:dyDescent="0.25">
      <c r="F58" s="2" t="s">
        <v>0</v>
      </c>
      <c r="G58" s="4">
        <v>46272</v>
      </c>
      <c r="H58" s="2" t="s">
        <v>2</v>
      </c>
      <c r="I58" s="1" t="s">
        <v>22</v>
      </c>
      <c r="J58" s="2" t="s">
        <v>11</v>
      </c>
      <c r="K58" s="1" t="s">
        <v>14</v>
      </c>
    </row>
    <row r="59" spans="6:11" ht="14.45" customHeight="1" x14ac:dyDescent="0.25">
      <c r="F59" s="32" t="s">
        <v>1094</v>
      </c>
      <c r="G59" s="32"/>
      <c r="H59" s="32"/>
      <c r="I59" s="32"/>
      <c r="J59" s="32"/>
      <c r="K59" s="32"/>
    </row>
    <row r="60" spans="6:11" x14ac:dyDescent="0.25">
      <c r="F60" s="32"/>
      <c r="G60" s="32"/>
      <c r="H60" s="32"/>
      <c r="I60" s="32"/>
      <c r="J60" s="32"/>
      <c r="K60" s="32"/>
    </row>
    <row r="61" spans="6:11" x14ac:dyDescent="0.25">
      <c r="F61" s="32"/>
      <c r="G61" s="32"/>
      <c r="H61" s="32"/>
      <c r="I61" s="32"/>
      <c r="J61" s="32"/>
      <c r="K61" s="32"/>
    </row>
    <row r="62" spans="6:11" x14ac:dyDescent="0.25">
      <c r="F62" s="2" t="s">
        <v>0</v>
      </c>
      <c r="G62" s="4">
        <v>46279</v>
      </c>
      <c r="H62" s="2" t="s">
        <v>2</v>
      </c>
      <c r="I62" s="1" t="s">
        <v>22</v>
      </c>
      <c r="J62" s="2" t="s">
        <v>11</v>
      </c>
      <c r="K62" s="1" t="s">
        <v>14</v>
      </c>
    </row>
    <row r="63" spans="6:11" x14ac:dyDescent="0.25">
      <c r="F63" s="32" t="s">
        <v>1158</v>
      </c>
      <c r="G63" s="32"/>
      <c r="H63" s="32"/>
      <c r="I63" s="32"/>
      <c r="J63" s="32"/>
      <c r="K63" s="32"/>
    </row>
    <row r="64" spans="6:11" x14ac:dyDescent="0.25">
      <c r="F64" s="32"/>
      <c r="G64" s="32"/>
      <c r="H64" s="32"/>
      <c r="I64" s="32"/>
      <c r="J64" s="32"/>
      <c r="K64" s="32"/>
    </row>
    <row r="65" spans="6:11" x14ac:dyDescent="0.25">
      <c r="F65" s="32"/>
      <c r="G65" s="32"/>
      <c r="H65" s="32"/>
      <c r="I65" s="32"/>
      <c r="J65" s="32"/>
      <c r="K65" s="32"/>
    </row>
    <row r="66" spans="6:11" x14ac:dyDescent="0.25">
      <c r="F66" s="2" t="s">
        <v>0</v>
      </c>
      <c r="G66" s="4">
        <v>46285</v>
      </c>
      <c r="H66" s="2" t="s">
        <v>2</v>
      </c>
      <c r="I66" s="1" t="s">
        <v>35</v>
      </c>
      <c r="J66" s="2" t="s">
        <v>11</v>
      </c>
      <c r="K66" s="1" t="s">
        <v>14</v>
      </c>
    </row>
    <row r="67" spans="6:11" ht="14.45" customHeight="1" x14ac:dyDescent="0.25">
      <c r="F67" s="32" t="s">
        <v>1225</v>
      </c>
      <c r="G67" s="32"/>
      <c r="H67" s="32"/>
      <c r="I67" s="32"/>
      <c r="J67" s="32"/>
      <c r="K67" s="32"/>
    </row>
    <row r="68" spans="6:11" x14ac:dyDescent="0.25">
      <c r="F68" s="32"/>
      <c r="G68" s="32"/>
      <c r="H68" s="32"/>
      <c r="I68" s="32"/>
      <c r="J68" s="32"/>
      <c r="K68" s="32"/>
    </row>
    <row r="69" spans="6:11" x14ac:dyDescent="0.25">
      <c r="F69" s="32"/>
      <c r="G69" s="32"/>
      <c r="H69" s="32"/>
      <c r="I69" s="32"/>
      <c r="J69" s="32"/>
      <c r="K69" s="32"/>
    </row>
    <row r="70" spans="6:11" x14ac:dyDescent="0.25">
      <c r="F70" s="32"/>
      <c r="G70" s="32"/>
      <c r="H70" s="32"/>
      <c r="I70" s="32"/>
      <c r="J70" s="32"/>
      <c r="K70" s="32"/>
    </row>
    <row r="71" spans="6:11" x14ac:dyDescent="0.25">
      <c r="F71" s="2" t="s">
        <v>0</v>
      </c>
      <c r="G71" s="4">
        <v>46287</v>
      </c>
      <c r="H71" s="2" t="s">
        <v>2</v>
      </c>
      <c r="I71" s="1" t="s">
        <v>22</v>
      </c>
      <c r="J71" s="2" t="s">
        <v>11</v>
      </c>
      <c r="K71" s="1" t="s">
        <v>14</v>
      </c>
    </row>
    <row r="72" spans="6:11" x14ac:dyDescent="0.25">
      <c r="F72" s="45" t="s">
        <v>637</v>
      </c>
      <c r="G72" s="45"/>
      <c r="H72" s="45"/>
      <c r="I72" s="45"/>
      <c r="J72" s="45"/>
      <c r="K72" s="45"/>
    </row>
  </sheetData>
  <mergeCells count="24">
    <mergeCell ref="F19:K20"/>
    <mergeCell ref="F15:K17"/>
    <mergeCell ref="F47:K50"/>
    <mergeCell ref="F42:K45"/>
    <mergeCell ref="F55:K57"/>
    <mergeCell ref="F39:K40"/>
    <mergeCell ref="F31:K32"/>
    <mergeCell ref="F34:K37"/>
    <mergeCell ref="F72:K72"/>
    <mergeCell ref="F52:K53"/>
    <mergeCell ref="U1:V1"/>
    <mergeCell ref="F6:K7"/>
    <mergeCell ref="R1:S1"/>
    <mergeCell ref="F3:K4"/>
    <mergeCell ref="F1:K1"/>
    <mergeCell ref="M1:P1"/>
    <mergeCell ref="F67:K70"/>
    <mergeCell ref="F63:K65"/>
    <mergeCell ref="F59:K61"/>
    <mergeCell ref="F12:K13"/>
    <mergeCell ref="F9:K10"/>
    <mergeCell ref="F25:K26"/>
    <mergeCell ref="F28:K29"/>
    <mergeCell ref="F22:K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0157-E8D2-4938-B524-2665CDA4B695}">
  <dimension ref="A1:V103"/>
  <sheetViews>
    <sheetView topLeftCell="A6" workbookViewId="0">
      <selection activeCell="M101" sqref="M101"/>
    </sheetView>
  </sheetViews>
  <sheetFormatPr baseColWidth="10" defaultRowHeight="15" x14ac:dyDescent="0.25"/>
  <cols>
    <col min="1" max="1" width="11.5703125" style="7"/>
    <col min="2" max="2" width="26.140625" style="7" bestFit="1" customWidth="1"/>
    <col min="3" max="3" width="11.5703125" style="7"/>
    <col min="4" max="4" width="39.5703125" style="7" bestFit="1" customWidth="1"/>
    <col min="18" max="18" width="21.28515625" bestFit="1" customWidth="1"/>
    <col min="19" max="19" width="21.8554687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ht="14.45" customHeight="1" x14ac:dyDescent="0.25">
      <c r="A2" s="6">
        <v>46174</v>
      </c>
      <c r="B2" s="7" t="s">
        <v>343</v>
      </c>
      <c r="C2" s="7" t="s">
        <v>344</v>
      </c>
      <c r="D2" s="7" t="s">
        <v>347</v>
      </c>
      <c r="F2" s="2" t="s">
        <v>0</v>
      </c>
      <c r="G2" s="4">
        <v>46196</v>
      </c>
      <c r="H2" s="2" t="s">
        <v>2</v>
      </c>
      <c r="I2" s="1" t="s">
        <v>22</v>
      </c>
      <c r="J2" s="2" t="s">
        <v>11</v>
      </c>
      <c r="K2" s="1" t="s">
        <v>14</v>
      </c>
      <c r="M2" s="2" t="s">
        <v>0</v>
      </c>
      <c r="N2" s="1"/>
      <c r="O2" s="2" t="s">
        <v>6</v>
      </c>
      <c r="P2" s="1"/>
      <c r="R2" s="2" t="s">
        <v>11</v>
      </c>
      <c r="S2" s="8" t="s">
        <v>134</v>
      </c>
      <c r="U2" s="3" t="s">
        <v>0</v>
      </c>
      <c r="V2" s="3" t="s">
        <v>88</v>
      </c>
    </row>
    <row r="3" spans="1:22" x14ac:dyDescent="0.25">
      <c r="A3" s="6">
        <v>46177</v>
      </c>
      <c r="B3" s="7" t="s">
        <v>346</v>
      </c>
      <c r="C3" s="7" t="s">
        <v>344</v>
      </c>
      <c r="D3" s="7" t="s">
        <v>142</v>
      </c>
      <c r="F3" s="32" t="s">
        <v>46</v>
      </c>
      <c r="G3" s="32"/>
      <c r="H3" s="32"/>
      <c r="I3" s="32"/>
      <c r="J3" s="32"/>
      <c r="K3" s="32"/>
      <c r="R3" s="2" t="s">
        <v>76</v>
      </c>
      <c r="S3" s="8" t="s">
        <v>143</v>
      </c>
    </row>
    <row r="4" spans="1:22" x14ac:dyDescent="0.25">
      <c r="A4" s="6">
        <v>46182</v>
      </c>
      <c r="B4" s="7" t="s">
        <v>343</v>
      </c>
      <c r="C4" s="7" t="s">
        <v>344</v>
      </c>
      <c r="D4" s="7" t="s">
        <v>348</v>
      </c>
      <c r="F4" s="32"/>
      <c r="G4" s="32"/>
      <c r="H4" s="32"/>
      <c r="I4" s="32"/>
      <c r="J4" s="32"/>
      <c r="K4" s="32"/>
      <c r="R4" s="2" t="s">
        <v>77</v>
      </c>
      <c r="S4" s="8"/>
    </row>
    <row r="5" spans="1:22" x14ac:dyDescent="0.25">
      <c r="A5" s="6">
        <v>46196</v>
      </c>
      <c r="B5" s="7" t="s">
        <v>8</v>
      </c>
      <c r="C5" s="7" t="s">
        <v>9</v>
      </c>
      <c r="D5" s="7" t="s">
        <v>10</v>
      </c>
      <c r="F5" s="2" t="s">
        <v>0</v>
      </c>
      <c r="G5" s="4">
        <v>46206</v>
      </c>
      <c r="H5" s="2" t="s">
        <v>2</v>
      </c>
      <c r="I5" s="1" t="s">
        <v>47</v>
      </c>
      <c r="J5" s="2" t="s">
        <v>11</v>
      </c>
      <c r="K5" s="1" t="s">
        <v>411</v>
      </c>
      <c r="R5" s="2" t="s">
        <v>78</v>
      </c>
      <c r="S5" s="8" t="s">
        <v>101</v>
      </c>
    </row>
    <row r="6" spans="1:22" ht="14.45" customHeight="1" x14ac:dyDescent="0.25">
      <c r="A6" s="6">
        <v>46198</v>
      </c>
      <c r="B6" s="7" t="s">
        <v>30</v>
      </c>
      <c r="C6" s="7" t="s">
        <v>31</v>
      </c>
      <c r="D6" s="7" t="s">
        <v>408</v>
      </c>
      <c r="F6" s="32" t="s">
        <v>410</v>
      </c>
      <c r="G6" s="32"/>
      <c r="H6" s="32"/>
      <c r="I6" s="32"/>
      <c r="J6" s="32"/>
      <c r="K6" s="32"/>
      <c r="R6" s="2" t="s">
        <v>92</v>
      </c>
      <c r="S6" s="8" t="s">
        <v>144</v>
      </c>
    </row>
    <row r="7" spans="1:22" x14ac:dyDescent="0.25">
      <c r="A7" s="6">
        <v>46211</v>
      </c>
      <c r="B7" s="7" t="s">
        <v>8</v>
      </c>
      <c r="C7" s="7" t="s">
        <v>9</v>
      </c>
      <c r="D7" s="7" t="s">
        <v>445</v>
      </c>
      <c r="F7" s="32"/>
      <c r="G7" s="32"/>
      <c r="H7" s="32"/>
      <c r="I7" s="32"/>
      <c r="J7" s="32"/>
      <c r="K7" s="32"/>
      <c r="R7" s="2" t="s">
        <v>80</v>
      </c>
      <c r="S7" s="7" t="s">
        <v>145</v>
      </c>
    </row>
    <row r="8" spans="1:22" x14ac:dyDescent="0.25">
      <c r="A8" s="6">
        <v>46211</v>
      </c>
      <c r="B8" s="7" t="s">
        <v>459</v>
      </c>
      <c r="C8" s="7" t="s">
        <v>9</v>
      </c>
      <c r="D8" s="7" t="s">
        <v>56</v>
      </c>
      <c r="F8" s="32"/>
      <c r="G8" s="32"/>
      <c r="H8" s="32"/>
      <c r="I8" s="32"/>
      <c r="J8" s="32"/>
      <c r="K8" s="32"/>
      <c r="R8" s="2" t="s">
        <v>81</v>
      </c>
      <c r="S8" s="8" t="s">
        <v>134</v>
      </c>
    </row>
    <row r="9" spans="1:22" x14ac:dyDescent="0.25">
      <c r="A9" s="6">
        <v>46226</v>
      </c>
      <c r="B9" s="7" t="s">
        <v>614</v>
      </c>
      <c r="C9" s="7" t="s">
        <v>9</v>
      </c>
      <c r="D9" s="6" t="s">
        <v>616</v>
      </c>
      <c r="F9" s="2" t="s">
        <v>0</v>
      </c>
      <c r="G9" s="4">
        <v>46206</v>
      </c>
      <c r="H9" s="2" t="s">
        <v>2</v>
      </c>
      <c r="I9" s="1" t="s">
        <v>47</v>
      </c>
      <c r="J9" s="2" t="s">
        <v>11</v>
      </c>
      <c r="K9" s="1" t="s">
        <v>411</v>
      </c>
      <c r="R9" s="2" t="s">
        <v>82</v>
      </c>
      <c r="S9" s="8">
        <f>S10+S11</f>
        <v>0.33119999999999999</v>
      </c>
    </row>
    <row r="10" spans="1:22" ht="14.45" customHeight="1" x14ac:dyDescent="0.25">
      <c r="A10" s="6">
        <v>46226</v>
      </c>
      <c r="B10" s="7" t="s">
        <v>617</v>
      </c>
      <c r="C10" s="7" t="s">
        <v>9</v>
      </c>
      <c r="D10" s="7" t="s">
        <v>56</v>
      </c>
      <c r="F10" s="46" t="s">
        <v>412</v>
      </c>
      <c r="G10" s="47"/>
      <c r="H10" s="47"/>
      <c r="I10" s="47"/>
      <c r="J10" s="47"/>
      <c r="K10" s="48"/>
      <c r="R10" s="2" t="s">
        <v>83</v>
      </c>
      <c r="S10" s="8">
        <v>0.32369999999999999</v>
      </c>
    </row>
    <row r="11" spans="1:22" x14ac:dyDescent="0.25">
      <c r="A11" s="6">
        <v>46228</v>
      </c>
      <c r="B11" s="7" t="s">
        <v>647</v>
      </c>
      <c r="C11" s="7" t="s">
        <v>47</v>
      </c>
      <c r="D11" s="7" t="s">
        <v>56</v>
      </c>
      <c r="F11" s="2" t="s">
        <v>0</v>
      </c>
      <c r="G11" s="4">
        <v>46211</v>
      </c>
      <c r="H11" s="2" t="s">
        <v>2</v>
      </c>
      <c r="I11" s="1" t="s">
        <v>22</v>
      </c>
      <c r="J11" s="2" t="s">
        <v>11</v>
      </c>
      <c r="K11" s="1" t="s">
        <v>461</v>
      </c>
      <c r="R11" s="2" t="s">
        <v>84</v>
      </c>
      <c r="S11" s="10">
        <v>7.4999999999999997E-3</v>
      </c>
    </row>
    <row r="12" spans="1:22" ht="14.45" customHeight="1" x14ac:dyDescent="0.25">
      <c r="A12" s="6">
        <v>46234</v>
      </c>
      <c r="B12" s="7" t="s">
        <v>8</v>
      </c>
      <c r="C12" s="7" t="s">
        <v>22</v>
      </c>
      <c r="D12" s="7" t="s">
        <v>718</v>
      </c>
      <c r="F12" s="32" t="s">
        <v>460</v>
      </c>
      <c r="G12" s="32"/>
      <c r="H12" s="32"/>
      <c r="I12" s="32"/>
      <c r="J12" s="32"/>
      <c r="K12" s="32"/>
      <c r="R12" s="2" t="s">
        <v>115</v>
      </c>
      <c r="S12" s="8"/>
    </row>
    <row r="13" spans="1:22" x14ac:dyDescent="0.25">
      <c r="A13" s="6">
        <v>46237</v>
      </c>
      <c r="B13" s="7" t="s">
        <v>736</v>
      </c>
      <c r="C13" s="7" t="s">
        <v>22</v>
      </c>
      <c r="D13" s="7" t="s">
        <v>740</v>
      </c>
      <c r="F13" s="32"/>
      <c r="G13" s="32"/>
      <c r="H13" s="32"/>
      <c r="I13" s="32"/>
      <c r="J13" s="32"/>
      <c r="K13" s="32"/>
      <c r="R13" s="2" t="s">
        <v>11</v>
      </c>
      <c r="S13" s="8" t="s">
        <v>142</v>
      </c>
    </row>
    <row r="14" spans="1:22" x14ac:dyDescent="0.25">
      <c r="A14" s="6">
        <v>46239</v>
      </c>
      <c r="B14" s="7" t="s">
        <v>30</v>
      </c>
      <c r="C14" s="7" t="s">
        <v>63</v>
      </c>
      <c r="D14" s="7" t="s">
        <v>765</v>
      </c>
      <c r="F14" s="32"/>
      <c r="G14" s="32"/>
      <c r="H14" s="32"/>
      <c r="I14" s="32"/>
      <c r="J14" s="32"/>
      <c r="K14" s="32"/>
      <c r="R14" s="2" t="s">
        <v>76</v>
      </c>
      <c r="S14" s="8" t="s">
        <v>146</v>
      </c>
    </row>
    <row r="15" spans="1:22" x14ac:dyDescent="0.25">
      <c r="A15" s="6">
        <v>46239</v>
      </c>
      <c r="B15" s="7" t="s">
        <v>766</v>
      </c>
      <c r="C15" s="7" t="s">
        <v>22</v>
      </c>
      <c r="D15" s="7" t="s">
        <v>770</v>
      </c>
      <c r="F15" s="2" t="s">
        <v>0</v>
      </c>
      <c r="G15" s="4">
        <v>46220</v>
      </c>
      <c r="H15" s="2" t="s">
        <v>2</v>
      </c>
      <c r="I15" s="1" t="s">
        <v>47</v>
      </c>
      <c r="J15" s="2" t="s">
        <v>11</v>
      </c>
      <c r="K15" s="1" t="s">
        <v>14</v>
      </c>
      <c r="R15" s="2" t="s">
        <v>77</v>
      </c>
      <c r="S15" s="8"/>
    </row>
    <row r="16" spans="1:22" ht="14.45" customHeight="1" x14ac:dyDescent="0.25">
      <c r="A16" s="6">
        <v>46239</v>
      </c>
      <c r="B16" s="7" t="s">
        <v>768</v>
      </c>
      <c r="C16" s="7" t="s">
        <v>22</v>
      </c>
      <c r="D16" s="7" t="s">
        <v>134</v>
      </c>
      <c r="F16" s="32" t="s">
        <v>560</v>
      </c>
      <c r="G16" s="32"/>
      <c r="H16" s="32"/>
      <c r="I16" s="32"/>
      <c r="J16" s="32"/>
      <c r="K16" s="32"/>
      <c r="R16" s="2" t="s">
        <v>78</v>
      </c>
      <c r="S16" s="8" t="s">
        <v>101</v>
      </c>
    </row>
    <row r="17" spans="1:19" x14ac:dyDescent="0.25">
      <c r="A17" s="6">
        <v>46253</v>
      </c>
      <c r="B17" s="7" t="s">
        <v>8</v>
      </c>
      <c r="C17" s="7" t="s">
        <v>22</v>
      </c>
      <c r="D17" s="7" t="s">
        <v>918</v>
      </c>
      <c r="F17" s="32"/>
      <c r="G17" s="32"/>
      <c r="H17" s="32"/>
      <c r="I17" s="32"/>
      <c r="J17" s="32"/>
      <c r="K17" s="32"/>
      <c r="R17" s="2" t="s">
        <v>92</v>
      </c>
      <c r="S17" s="8" t="s">
        <v>147</v>
      </c>
    </row>
    <row r="18" spans="1:19" x14ac:dyDescent="0.25">
      <c r="A18" s="6">
        <v>46256</v>
      </c>
      <c r="B18" s="7" t="s">
        <v>956</v>
      </c>
      <c r="C18" s="7" t="s">
        <v>385</v>
      </c>
      <c r="D18" s="7" t="s">
        <v>56</v>
      </c>
      <c r="F18" s="32"/>
      <c r="G18" s="32"/>
      <c r="H18" s="32"/>
      <c r="I18" s="32"/>
      <c r="J18" s="32"/>
      <c r="K18" s="32"/>
      <c r="R18" s="2" t="s">
        <v>80</v>
      </c>
      <c r="S18" s="8" t="s">
        <v>148</v>
      </c>
    </row>
    <row r="19" spans="1:19" x14ac:dyDescent="0.25">
      <c r="A19" s="6">
        <v>46259</v>
      </c>
      <c r="B19" s="7" t="s">
        <v>30</v>
      </c>
      <c r="C19" s="7" t="s">
        <v>31</v>
      </c>
      <c r="D19" s="7" t="s">
        <v>986</v>
      </c>
      <c r="F19" s="32"/>
      <c r="G19" s="32"/>
      <c r="H19" s="32"/>
      <c r="I19" s="32"/>
      <c r="J19" s="32"/>
      <c r="K19" s="32"/>
      <c r="R19" s="2" t="s">
        <v>81</v>
      </c>
      <c r="S19" s="8" t="s">
        <v>149</v>
      </c>
    </row>
    <row r="20" spans="1:19" x14ac:dyDescent="0.25">
      <c r="A20" s="6">
        <v>46266</v>
      </c>
      <c r="B20" s="7" t="s">
        <v>1031</v>
      </c>
      <c r="C20" s="7" t="s">
        <v>1033</v>
      </c>
      <c r="D20" s="7" t="s">
        <v>1040</v>
      </c>
      <c r="F20" s="32"/>
      <c r="G20" s="32"/>
      <c r="H20" s="32"/>
      <c r="I20" s="32"/>
      <c r="J20" s="32"/>
      <c r="K20" s="32"/>
      <c r="R20" s="2" t="s">
        <v>82</v>
      </c>
      <c r="S20" s="8">
        <f>S21+S22</f>
        <v>0.4219</v>
      </c>
    </row>
    <row r="21" spans="1:19" x14ac:dyDescent="0.25">
      <c r="A21" s="6">
        <v>46266</v>
      </c>
      <c r="B21" s="7" t="s">
        <v>1032</v>
      </c>
      <c r="C21" s="7" t="s">
        <v>31</v>
      </c>
      <c r="D21" s="7" t="s">
        <v>1041</v>
      </c>
      <c r="F21" s="2" t="s">
        <v>0</v>
      </c>
      <c r="G21" s="4">
        <v>46226</v>
      </c>
      <c r="H21" s="2" t="s">
        <v>2</v>
      </c>
      <c r="I21" s="1" t="s">
        <v>22</v>
      </c>
      <c r="J21" s="2" t="s">
        <v>11</v>
      </c>
      <c r="K21" s="1" t="s">
        <v>461</v>
      </c>
      <c r="R21" s="2" t="s">
        <v>83</v>
      </c>
      <c r="S21" s="8">
        <v>0.41270000000000001</v>
      </c>
    </row>
    <row r="22" spans="1:19" ht="14.45" customHeight="1" x14ac:dyDescent="0.25">
      <c r="A22" s="6">
        <v>46268</v>
      </c>
      <c r="B22" s="7" t="s">
        <v>1076</v>
      </c>
      <c r="C22" s="7" t="s">
        <v>31</v>
      </c>
      <c r="D22" s="7" t="s">
        <v>1075</v>
      </c>
      <c r="F22" s="32" t="s">
        <v>615</v>
      </c>
      <c r="G22" s="32"/>
      <c r="H22" s="32"/>
      <c r="I22" s="32"/>
      <c r="J22" s="32"/>
      <c r="K22" s="32"/>
      <c r="R22" s="2" t="s">
        <v>84</v>
      </c>
      <c r="S22" s="10">
        <v>9.1999999999999998E-3</v>
      </c>
    </row>
    <row r="23" spans="1:19" x14ac:dyDescent="0.25">
      <c r="A23" s="6">
        <v>46272</v>
      </c>
      <c r="B23" s="7" t="s">
        <v>1089</v>
      </c>
      <c r="C23" s="7" t="s">
        <v>31</v>
      </c>
      <c r="D23" s="7" t="s">
        <v>1091</v>
      </c>
      <c r="F23" s="32"/>
      <c r="G23" s="32"/>
      <c r="H23" s="32"/>
      <c r="I23" s="32"/>
      <c r="J23" s="32"/>
      <c r="K23" s="32"/>
      <c r="R23" s="2" t="s">
        <v>115</v>
      </c>
      <c r="S23" s="8"/>
    </row>
    <row r="24" spans="1:19" x14ac:dyDescent="0.25">
      <c r="A24" s="6">
        <v>46272</v>
      </c>
      <c r="B24" s="7" t="s">
        <v>438</v>
      </c>
      <c r="C24" s="7" t="s">
        <v>439</v>
      </c>
      <c r="D24" s="7" t="s">
        <v>1029</v>
      </c>
      <c r="F24" s="32"/>
      <c r="G24" s="32"/>
      <c r="H24" s="32"/>
      <c r="I24" s="32"/>
      <c r="J24" s="32"/>
      <c r="K24" s="32"/>
      <c r="R24" s="2" t="s">
        <v>11</v>
      </c>
      <c r="S24" s="8" t="s">
        <v>150</v>
      </c>
    </row>
    <row r="25" spans="1:19" x14ac:dyDescent="0.25">
      <c r="A25" s="6">
        <v>46273</v>
      </c>
      <c r="B25" s="7" t="s">
        <v>1102</v>
      </c>
      <c r="C25" s="7" t="s">
        <v>16</v>
      </c>
      <c r="D25" s="7" t="s">
        <v>1092</v>
      </c>
      <c r="F25" s="32"/>
      <c r="G25" s="32"/>
      <c r="H25" s="32"/>
      <c r="I25" s="32"/>
      <c r="J25" s="32"/>
      <c r="K25" s="32"/>
      <c r="R25" s="2" t="s">
        <v>76</v>
      </c>
      <c r="S25" s="8" t="s">
        <v>151</v>
      </c>
    </row>
    <row r="26" spans="1:19" x14ac:dyDescent="0.25">
      <c r="A26" s="6">
        <v>46276</v>
      </c>
      <c r="B26" s="7" t="s">
        <v>1031</v>
      </c>
      <c r="C26" s="7" t="s">
        <v>15</v>
      </c>
      <c r="D26" s="7" t="s">
        <v>1140</v>
      </c>
      <c r="F26" s="32"/>
      <c r="G26" s="32"/>
      <c r="H26" s="32"/>
      <c r="I26" s="32"/>
      <c r="J26" s="32"/>
      <c r="K26" s="32"/>
      <c r="R26" s="2" t="s">
        <v>77</v>
      </c>
      <c r="S26" s="8"/>
    </row>
    <row r="27" spans="1:19" x14ac:dyDescent="0.25">
      <c r="A27" s="6">
        <v>46280</v>
      </c>
      <c r="B27" s="7" t="s">
        <v>1169</v>
      </c>
      <c r="C27" s="7" t="s">
        <v>22</v>
      </c>
      <c r="D27" s="7" t="s">
        <v>1170</v>
      </c>
      <c r="F27" s="2" t="s">
        <v>0</v>
      </c>
      <c r="G27" s="4">
        <v>46228</v>
      </c>
      <c r="H27" s="2" t="s">
        <v>2</v>
      </c>
      <c r="I27" s="1" t="s">
        <v>47</v>
      </c>
      <c r="J27" s="2" t="s">
        <v>11</v>
      </c>
      <c r="K27" s="1" t="s">
        <v>14</v>
      </c>
      <c r="R27" s="2" t="s">
        <v>78</v>
      </c>
      <c r="S27" s="8" t="s">
        <v>101</v>
      </c>
    </row>
    <row r="28" spans="1:19" x14ac:dyDescent="0.25">
      <c r="A28" s="6">
        <v>46281</v>
      </c>
      <c r="B28" s="7" t="s">
        <v>1176</v>
      </c>
      <c r="C28" s="7" t="s">
        <v>22</v>
      </c>
      <c r="D28" s="7" t="s">
        <v>1178</v>
      </c>
      <c r="F28" s="32" t="s">
        <v>646</v>
      </c>
      <c r="G28" s="32"/>
      <c r="H28" s="32"/>
      <c r="I28" s="32"/>
      <c r="J28" s="32"/>
      <c r="K28" s="32"/>
      <c r="R28" s="2" t="s">
        <v>92</v>
      </c>
      <c r="S28" s="8" t="s">
        <v>150</v>
      </c>
    </row>
    <row r="29" spans="1:19" x14ac:dyDescent="0.25">
      <c r="A29" s="6">
        <v>46281</v>
      </c>
      <c r="B29" s="7" t="s">
        <v>1181</v>
      </c>
      <c r="C29" s="7" t="s">
        <v>47</v>
      </c>
      <c r="D29" s="7" t="s">
        <v>1178</v>
      </c>
      <c r="F29" s="32"/>
      <c r="G29" s="32"/>
      <c r="H29" s="32"/>
      <c r="I29" s="32"/>
      <c r="J29" s="32"/>
      <c r="K29" s="32"/>
      <c r="R29" s="2" t="s">
        <v>80</v>
      </c>
      <c r="S29" s="8" t="s">
        <v>113</v>
      </c>
    </row>
    <row r="30" spans="1:19" x14ac:dyDescent="0.25">
      <c r="A30" s="6">
        <v>46286</v>
      </c>
      <c r="B30" s="7" t="s">
        <v>1031</v>
      </c>
      <c r="C30" s="7" t="s">
        <v>22</v>
      </c>
      <c r="D30" s="7" t="s">
        <v>1036</v>
      </c>
      <c r="F30" s="32"/>
      <c r="G30" s="32"/>
      <c r="H30" s="32"/>
      <c r="I30" s="32"/>
      <c r="J30" s="32"/>
      <c r="K30" s="32"/>
      <c r="R30" s="2" t="s">
        <v>81</v>
      </c>
      <c r="S30" s="8" t="s">
        <v>93</v>
      </c>
    </row>
    <row r="31" spans="1:19" x14ac:dyDescent="0.25">
      <c r="F31" s="2" t="s">
        <v>0</v>
      </c>
      <c r="G31" s="4">
        <v>46234</v>
      </c>
      <c r="H31" s="2" t="s">
        <v>2</v>
      </c>
      <c r="I31" s="1" t="s">
        <v>22</v>
      </c>
      <c r="J31" s="2" t="s">
        <v>11</v>
      </c>
      <c r="K31" s="1" t="s">
        <v>14</v>
      </c>
      <c r="R31" s="2" t="s">
        <v>82</v>
      </c>
      <c r="S31" s="8">
        <f>S32+S33</f>
        <v>0.33240000000000003</v>
      </c>
    </row>
    <row r="32" spans="1:19" ht="14.45" customHeight="1" x14ac:dyDescent="0.25">
      <c r="F32" s="32" t="s">
        <v>722</v>
      </c>
      <c r="G32" s="32"/>
      <c r="H32" s="32"/>
      <c r="I32" s="32"/>
      <c r="J32" s="32"/>
      <c r="K32" s="32"/>
      <c r="R32" s="2" t="s">
        <v>83</v>
      </c>
      <c r="S32" s="10">
        <v>0.32700000000000001</v>
      </c>
    </row>
    <row r="33" spans="6:19" x14ac:dyDescent="0.25">
      <c r="F33" s="32"/>
      <c r="G33" s="32"/>
      <c r="H33" s="32"/>
      <c r="I33" s="32"/>
      <c r="J33" s="32"/>
      <c r="K33" s="32"/>
      <c r="R33" s="2" t="s">
        <v>84</v>
      </c>
      <c r="S33" s="10">
        <v>5.4000000000000003E-3</v>
      </c>
    </row>
    <row r="34" spans="6:19" x14ac:dyDescent="0.25">
      <c r="F34" s="32"/>
      <c r="G34" s="32"/>
      <c r="H34" s="32"/>
      <c r="I34" s="32"/>
      <c r="J34" s="32"/>
      <c r="K34" s="32"/>
      <c r="R34" s="2" t="s">
        <v>115</v>
      </c>
      <c r="S34" s="8"/>
    </row>
    <row r="35" spans="6:19" x14ac:dyDescent="0.25">
      <c r="F35" s="32"/>
      <c r="G35" s="32"/>
      <c r="H35" s="32"/>
      <c r="I35" s="32"/>
      <c r="J35" s="32"/>
      <c r="K35" s="32"/>
      <c r="R35" s="2" t="s">
        <v>85</v>
      </c>
      <c r="S35" s="10">
        <f>S32+S21+S10</f>
        <v>1.0634000000000001</v>
      </c>
    </row>
    <row r="36" spans="6:19" x14ac:dyDescent="0.25">
      <c r="F36" s="32"/>
      <c r="G36" s="32"/>
      <c r="H36" s="32"/>
      <c r="I36" s="32"/>
      <c r="J36" s="32"/>
      <c r="K36" s="32"/>
      <c r="R36" s="2" t="s">
        <v>86</v>
      </c>
      <c r="S36" s="10">
        <f>S35*12.032</f>
        <v>12.794828800000001</v>
      </c>
    </row>
    <row r="37" spans="6:19" x14ac:dyDescent="0.25">
      <c r="F37" s="32"/>
      <c r="G37" s="32"/>
      <c r="H37" s="32"/>
      <c r="I37" s="32"/>
      <c r="J37" s="32"/>
      <c r="K37" s="32"/>
    </row>
    <row r="38" spans="6:19" x14ac:dyDescent="0.25">
      <c r="F38" s="2" t="s">
        <v>0</v>
      </c>
      <c r="G38" s="4">
        <v>46237</v>
      </c>
      <c r="H38" s="2" t="s">
        <v>2</v>
      </c>
      <c r="I38" s="1" t="s">
        <v>22</v>
      </c>
      <c r="J38" s="2" t="s">
        <v>11</v>
      </c>
      <c r="K38" s="1" t="s">
        <v>14</v>
      </c>
    </row>
    <row r="39" spans="6:19" ht="14.45" customHeight="1" x14ac:dyDescent="0.25">
      <c r="F39" s="32" t="s">
        <v>741</v>
      </c>
      <c r="G39" s="32"/>
      <c r="H39" s="32"/>
      <c r="I39" s="32"/>
      <c r="J39" s="32"/>
      <c r="K39" s="32"/>
    </row>
    <row r="40" spans="6:19" x14ac:dyDescent="0.25">
      <c r="F40" s="32"/>
      <c r="G40" s="32"/>
      <c r="H40" s="32"/>
      <c r="I40" s="32"/>
      <c r="J40" s="32"/>
      <c r="K40" s="32"/>
    </row>
    <row r="41" spans="6:19" x14ac:dyDescent="0.25">
      <c r="F41" s="32"/>
      <c r="G41" s="32"/>
      <c r="H41" s="32"/>
      <c r="I41" s="32"/>
      <c r="J41" s="32"/>
      <c r="K41" s="32"/>
    </row>
    <row r="42" spans="6:19" x14ac:dyDescent="0.25">
      <c r="F42" s="32"/>
      <c r="G42" s="32"/>
      <c r="H42" s="32"/>
      <c r="I42" s="32"/>
      <c r="J42" s="32"/>
      <c r="K42" s="32"/>
    </row>
    <row r="43" spans="6:19" x14ac:dyDescent="0.25">
      <c r="F43" s="32"/>
      <c r="G43" s="32"/>
      <c r="H43" s="32"/>
      <c r="I43" s="32"/>
      <c r="J43" s="32"/>
      <c r="K43" s="32"/>
    </row>
    <row r="44" spans="6:19" x14ac:dyDescent="0.25">
      <c r="F44" s="32"/>
      <c r="G44" s="32"/>
      <c r="H44" s="32"/>
      <c r="I44" s="32"/>
      <c r="J44" s="32"/>
      <c r="K44" s="32"/>
    </row>
    <row r="45" spans="6:19" x14ac:dyDescent="0.25">
      <c r="F45" s="32"/>
      <c r="G45" s="32"/>
      <c r="H45" s="32"/>
      <c r="I45" s="32"/>
      <c r="J45" s="32"/>
      <c r="K45" s="32"/>
    </row>
    <row r="46" spans="6:19" x14ac:dyDescent="0.25">
      <c r="F46" s="32"/>
      <c r="G46" s="32"/>
      <c r="H46" s="32"/>
      <c r="I46" s="32"/>
      <c r="J46" s="32"/>
      <c r="K46" s="32"/>
    </row>
    <row r="47" spans="6:19" x14ac:dyDescent="0.25">
      <c r="F47" s="2" t="s">
        <v>0</v>
      </c>
      <c r="G47" s="4">
        <v>46239</v>
      </c>
      <c r="H47" s="2" t="s">
        <v>2</v>
      </c>
      <c r="I47" s="1" t="s">
        <v>22</v>
      </c>
      <c r="J47" s="2" t="s">
        <v>11</v>
      </c>
      <c r="K47" s="1" t="s">
        <v>14</v>
      </c>
    </row>
    <row r="48" spans="6:19" ht="14.45" customHeight="1" x14ac:dyDescent="0.25">
      <c r="F48" s="32" t="s">
        <v>771</v>
      </c>
      <c r="G48" s="32"/>
      <c r="H48" s="32"/>
      <c r="I48" s="32"/>
      <c r="J48" s="32"/>
      <c r="K48" s="32"/>
    </row>
    <row r="49" spans="6:11" x14ac:dyDescent="0.25">
      <c r="F49" s="32"/>
      <c r="G49" s="32"/>
      <c r="H49" s="32"/>
      <c r="I49" s="32"/>
      <c r="J49" s="32"/>
      <c r="K49" s="32"/>
    </row>
    <row r="50" spans="6:11" x14ac:dyDescent="0.25">
      <c r="F50" s="32"/>
      <c r="G50" s="32"/>
      <c r="H50" s="32"/>
      <c r="I50" s="32"/>
      <c r="J50" s="32"/>
      <c r="K50" s="32"/>
    </row>
    <row r="51" spans="6:11" x14ac:dyDescent="0.25">
      <c r="F51" s="2" t="s">
        <v>0</v>
      </c>
      <c r="G51" s="4">
        <v>46240</v>
      </c>
      <c r="H51" s="2" t="s">
        <v>2</v>
      </c>
      <c r="I51" s="1" t="s">
        <v>15</v>
      </c>
      <c r="J51" s="2" t="s">
        <v>11</v>
      </c>
      <c r="K51" s="1" t="s">
        <v>14</v>
      </c>
    </row>
    <row r="52" spans="6:11" x14ac:dyDescent="0.25">
      <c r="F52" s="32" t="s">
        <v>788</v>
      </c>
      <c r="G52" s="32"/>
      <c r="H52" s="32"/>
      <c r="I52" s="32"/>
      <c r="J52" s="32"/>
      <c r="K52" s="32"/>
    </row>
    <row r="53" spans="6:11" x14ac:dyDescent="0.25">
      <c r="F53" s="32"/>
      <c r="G53" s="32"/>
      <c r="H53" s="32"/>
      <c r="I53" s="32"/>
      <c r="J53" s="32"/>
      <c r="K53" s="32"/>
    </row>
    <row r="54" spans="6:11" x14ac:dyDescent="0.25">
      <c r="F54" s="32"/>
      <c r="G54" s="32"/>
      <c r="H54" s="32"/>
      <c r="I54" s="32"/>
      <c r="J54" s="32"/>
      <c r="K54" s="32"/>
    </row>
    <row r="55" spans="6:11" x14ac:dyDescent="0.25">
      <c r="F55" s="2" t="s">
        <v>0</v>
      </c>
      <c r="G55" s="4">
        <v>46253</v>
      </c>
      <c r="H55" s="2" t="s">
        <v>2</v>
      </c>
      <c r="I55" s="1" t="s">
        <v>22</v>
      </c>
      <c r="J55" s="2" t="s">
        <v>11</v>
      </c>
      <c r="K55" s="1" t="s">
        <v>14</v>
      </c>
    </row>
    <row r="56" spans="6:11" ht="14.45" customHeight="1" x14ac:dyDescent="0.25">
      <c r="F56" s="32" t="s">
        <v>936</v>
      </c>
      <c r="G56" s="32"/>
      <c r="H56" s="32"/>
      <c r="I56" s="32"/>
      <c r="J56" s="32"/>
      <c r="K56" s="32"/>
    </row>
    <row r="57" spans="6:11" x14ac:dyDescent="0.25">
      <c r="F57" s="32"/>
      <c r="G57" s="32"/>
      <c r="H57" s="32"/>
      <c r="I57" s="32"/>
      <c r="J57" s="32"/>
      <c r="K57" s="32"/>
    </row>
    <row r="58" spans="6:11" x14ac:dyDescent="0.25">
      <c r="F58" s="32"/>
      <c r="G58" s="32"/>
      <c r="H58" s="32"/>
      <c r="I58" s="32"/>
      <c r="J58" s="32"/>
      <c r="K58" s="32"/>
    </row>
    <row r="59" spans="6:11" x14ac:dyDescent="0.25">
      <c r="F59" s="32"/>
      <c r="G59" s="32"/>
      <c r="H59" s="32"/>
      <c r="I59" s="32"/>
      <c r="J59" s="32"/>
      <c r="K59" s="32"/>
    </row>
    <row r="60" spans="6:11" x14ac:dyDescent="0.25">
      <c r="F60" s="32"/>
      <c r="G60" s="32"/>
      <c r="H60" s="32"/>
      <c r="I60" s="32"/>
      <c r="J60" s="32"/>
      <c r="K60" s="32"/>
    </row>
    <row r="61" spans="6:11" x14ac:dyDescent="0.25">
      <c r="F61" s="32"/>
      <c r="G61" s="32"/>
      <c r="H61" s="32"/>
      <c r="I61" s="32"/>
      <c r="J61" s="32"/>
      <c r="K61" s="32"/>
    </row>
    <row r="62" spans="6:11" x14ac:dyDescent="0.25">
      <c r="F62" s="32"/>
      <c r="G62" s="32"/>
      <c r="H62" s="32"/>
      <c r="I62" s="32"/>
      <c r="J62" s="32"/>
      <c r="K62" s="32"/>
    </row>
    <row r="63" spans="6:11" x14ac:dyDescent="0.25">
      <c r="F63" s="2" t="s">
        <v>0</v>
      </c>
      <c r="G63" s="4">
        <v>46256</v>
      </c>
      <c r="H63" s="2" t="s">
        <v>2</v>
      </c>
      <c r="I63" s="1" t="s">
        <v>624</v>
      </c>
      <c r="J63" s="2" t="s">
        <v>11</v>
      </c>
      <c r="K63" s="1" t="s">
        <v>14</v>
      </c>
    </row>
    <row r="64" spans="6:11" x14ac:dyDescent="0.25">
      <c r="F64" s="32" t="s">
        <v>957</v>
      </c>
      <c r="G64" s="32"/>
      <c r="H64" s="32"/>
      <c r="I64" s="32"/>
      <c r="J64" s="32"/>
      <c r="K64" s="32"/>
    </row>
    <row r="65" spans="6:11" x14ac:dyDescent="0.25">
      <c r="F65" s="32"/>
      <c r="G65" s="32"/>
      <c r="H65" s="32"/>
      <c r="I65" s="32"/>
      <c r="J65" s="32"/>
      <c r="K65" s="32"/>
    </row>
    <row r="66" spans="6:11" x14ac:dyDescent="0.25">
      <c r="F66" s="32"/>
      <c r="G66" s="32"/>
      <c r="H66" s="32"/>
      <c r="I66" s="32"/>
      <c r="J66" s="32"/>
      <c r="K66" s="32"/>
    </row>
    <row r="67" spans="6:11" x14ac:dyDescent="0.25">
      <c r="F67" s="2" t="s">
        <v>0</v>
      </c>
      <c r="G67" s="4">
        <v>46265</v>
      </c>
      <c r="H67" s="2" t="s">
        <v>2</v>
      </c>
      <c r="I67" s="1" t="s">
        <v>35</v>
      </c>
      <c r="J67" s="2" t="s">
        <v>11</v>
      </c>
      <c r="K67" s="1" t="s">
        <v>14</v>
      </c>
    </row>
    <row r="68" spans="6:11" ht="14.45" customHeight="1" x14ac:dyDescent="0.25">
      <c r="F68" s="32" t="s">
        <v>1024</v>
      </c>
      <c r="G68" s="32"/>
      <c r="H68" s="32"/>
      <c r="I68" s="32"/>
      <c r="J68" s="32"/>
      <c r="K68" s="32"/>
    </row>
    <row r="69" spans="6:11" x14ac:dyDescent="0.25">
      <c r="F69" s="32"/>
      <c r="G69" s="32"/>
      <c r="H69" s="32"/>
      <c r="I69" s="32"/>
      <c r="J69" s="32"/>
      <c r="K69" s="32"/>
    </row>
    <row r="70" spans="6:11" x14ac:dyDescent="0.25">
      <c r="F70" s="32"/>
      <c r="G70" s="32"/>
      <c r="H70" s="32"/>
      <c r="I70" s="32"/>
      <c r="J70" s="32"/>
      <c r="K70" s="32"/>
    </row>
    <row r="71" spans="6:11" x14ac:dyDescent="0.25">
      <c r="F71" s="32"/>
      <c r="G71" s="32"/>
      <c r="H71" s="32"/>
      <c r="I71" s="32"/>
      <c r="J71" s="32"/>
      <c r="K71" s="32"/>
    </row>
    <row r="72" spans="6:11" x14ac:dyDescent="0.25">
      <c r="F72" s="32"/>
      <c r="G72" s="32"/>
      <c r="H72" s="32"/>
      <c r="I72" s="32"/>
      <c r="J72" s="32"/>
      <c r="K72" s="32"/>
    </row>
    <row r="73" spans="6:11" x14ac:dyDescent="0.25">
      <c r="F73" s="32"/>
      <c r="G73" s="32"/>
      <c r="H73" s="32"/>
      <c r="I73" s="32"/>
      <c r="J73" s="32"/>
      <c r="K73" s="32"/>
    </row>
    <row r="74" spans="6:11" x14ac:dyDescent="0.25">
      <c r="F74" s="32"/>
      <c r="G74" s="32"/>
      <c r="H74" s="32"/>
      <c r="I74" s="32"/>
      <c r="J74" s="32"/>
      <c r="K74" s="32"/>
    </row>
    <row r="75" spans="6:11" x14ac:dyDescent="0.25">
      <c r="F75" s="32"/>
      <c r="G75" s="32"/>
      <c r="H75" s="32"/>
      <c r="I75" s="32"/>
      <c r="J75" s="32"/>
      <c r="K75" s="32"/>
    </row>
    <row r="76" spans="6:11" x14ac:dyDescent="0.25">
      <c r="F76" s="32"/>
      <c r="G76" s="32"/>
      <c r="H76" s="32"/>
      <c r="I76" s="32"/>
      <c r="J76" s="32"/>
      <c r="K76" s="32"/>
    </row>
    <row r="77" spans="6:11" x14ac:dyDescent="0.25">
      <c r="F77" s="2" t="s">
        <v>0</v>
      </c>
      <c r="G77" s="4">
        <v>46266</v>
      </c>
      <c r="H77" s="2" t="s">
        <v>2</v>
      </c>
      <c r="I77" s="1" t="s">
        <v>22</v>
      </c>
      <c r="J77" s="2" t="s">
        <v>11</v>
      </c>
      <c r="K77" s="1" t="s">
        <v>144</v>
      </c>
    </row>
    <row r="78" spans="6:11" x14ac:dyDescent="0.25">
      <c r="F78" s="45" t="s">
        <v>1042</v>
      </c>
      <c r="G78" s="45"/>
      <c r="H78" s="45"/>
      <c r="I78" s="45"/>
      <c r="J78" s="45"/>
      <c r="K78" s="45"/>
    </row>
    <row r="79" spans="6:11" x14ac:dyDescent="0.25">
      <c r="F79" s="2" t="s">
        <v>0</v>
      </c>
      <c r="G79" s="4">
        <v>46273</v>
      </c>
      <c r="H79" s="2" t="s">
        <v>2</v>
      </c>
      <c r="I79" s="1" t="s">
        <v>16</v>
      </c>
      <c r="J79" s="2" t="s">
        <v>11</v>
      </c>
      <c r="K79" s="1" t="s">
        <v>14</v>
      </c>
    </row>
    <row r="80" spans="6:11" ht="14.45" customHeight="1" x14ac:dyDescent="0.25">
      <c r="F80" s="32" t="s">
        <v>1104</v>
      </c>
      <c r="G80" s="32"/>
      <c r="H80" s="32"/>
      <c r="I80" s="32"/>
      <c r="J80" s="32"/>
      <c r="K80" s="32"/>
    </row>
    <row r="81" spans="6:11" x14ac:dyDescent="0.25">
      <c r="F81" s="32"/>
      <c r="G81" s="32"/>
      <c r="H81" s="32"/>
      <c r="I81" s="32"/>
      <c r="J81" s="32"/>
      <c r="K81" s="32"/>
    </row>
    <row r="82" spans="6:11" x14ac:dyDescent="0.25">
      <c r="F82" s="32"/>
      <c r="G82" s="32"/>
      <c r="H82" s="32"/>
      <c r="I82" s="32"/>
      <c r="J82" s="32"/>
      <c r="K82" s="32"/>
    </row>
    <row r="83" spans="6:11" x14ac:dyDescent="0.25">
      <c r="F83" s="32"/>
      <c r="G83" s="32"/>
      <c r="H83" s="32"/>
      <c r="I83" s="32"/>
      <c r="J83" s="32"/>
      <c r="K83" s="32"/>
    </row>
    <row r="84" spans="6:11" x14ac:dyDescent="0.25">
      <c r="F84" s="2" t="s">
        <v>0</v>
      </c>
      <c r="G84" s="4">
        <v>46274</v>
      </c>
      <c r="H84" s="2" t="s">
        <v>2</v>
      </c>
      <c r="I84" s="1" t="s">
        <v>47</v>
      </c>
      <c r="J84" s="2" t="s">
        <v>11</v>
      </c>
      <c r="K84" s="1" t="s">
        <v>144</v>
      </c>
    </row>
    <row r="85" spans="6:11" ht="14.45" customHeight="1" x14ac:dyDescent="0.25">
      <c r="F85" s="37" t="s">
        <v>1114</v>
      </c>
      <c r="G85" s="37"/>
      <c r="H85" s="37"/>
      <c r="I85" s="37"/>
      <c r="J85" s="37"/>
      <c r="K85" s="37"/>
    </row>
    <row r="86" spans="6:11" x14ac:dyDescent="0.25">
      <c r="F86" s="37"/>
      <c r="G86" s="37"/>
      <c r="H86" s="37"/>
      <c r="I86" s="37"/>
      <c r="J86" s="37"/>
      <c r="K86" s="37"/>
    </row>
    <row r="87" spans="6:11" x14ac:dyDescent="0.25">
      <c r="F87" s="37"/>
      <c r="G87" s="37"/>
      <c r="H87" s="37"/>
      <c r="I87" s="37"/>
      <c r="J87" s="37"/>
      <c r="K87" s="37"/>
    </row>
    <row r="88" spans="6:11" x14ac:dyDescent="0.25">
      <c r="F88" s="2" t="s">
        <v>0</v>
      </c>
      <c r="G88" s="4">
        <v>46276</v>
      </c>
      <c r="H88" s="2" t="s">
        <v>2</v>
      </c>
      <c r="I88" s="1" t="s">
        <v>15</v>
      </c>
      <c r="J88" s="2" t="s">
        <v>11</v>
      </c>
      <c r="K88" s="1" t="s">
        <v>144</v>
      </c>
    </row>
    <row r="89" spans="6:11" x14ac:dyDescent="0.25">
      <c r="F89" s="45" t="s">
        <v>601</v>
      </c>
      <c r="G89" s="45"/>
      <c r="H89" s="45"/>
      <c r="I89" s="45"/>
      <c r="J89" s="45"/>
      <c r="K89" s="45"/>
    </row>
    <row r="90" spans="6:11" x14ac:dyDescent="0.25">
      <c r="F90" s="2" t="s">
        <v>0</v>
      </c>
      <c r="G90" s="4">
        <v>46280</v>
      </c>
      <c r="H90" s="2" t="s">
        <v>2</v>
      </c>
      <c r="I90" s="1" t="s">
        <v>22</v>
      </c>
      <c r="J90" s="2" t="s">
        <v>11</v>
      </c>
      <c r="K90" s="1" t="s">
        <v>144</v>
      </c>
    </row>
    <row r="91" spans="6:11" x14ac:dyDescent="0.25">
      <c r="F91" s="32" t="s">
        <v>1171</v>
      </c>
      <c r="G91" s="32"/>
      <c r="H91" s="32"/>
      <c r="I91" s="32"/>
      <c r="J91" s="32"/>
      <c r="K91" s="32"/>
    </row>
    <row r="92" spans="6:11" x14ac:dyDescent="0.25">
      <c r="F92" s="32"/>
      <c r="G92" s="32"/>
      <c r="H92" s="32"/>
      <c r="I92" s="32"/>
      <c r="J92" s="32"/>
      <c r="K92" s="32"/>
    </row>
    <row r="93" spans="6:11" x14ac:dyDescent="0.25">
      <c r="F93" s="32"/>
      <c r="G93" s="32"/>
      <c r="H93" s="32"/>
      <c r="I93" s="32"/>
      <c r="J93" s="32"/>
      <c r="K93" s="32"/>
    </row>
    <row r="94" spans="6:11" x14ac:dyDescent="0.25">
      <c r="F94" s="2" t="s">
        <v>0</v>
      </c>
      <c r="G94" s="4">
        <v>46281</v>
      </c>
      <c r="H94" s="2" t="s">
        <v>2</v>
      </c>
      <c r="I94" s="1" t="s">
        <v>22</v>
      </c>
      <c r="J94" s="2" t="s">
        <v>11</v>
      </c>
      <c r="K94" s="1" t="s">
        <v>144</v>
      </c>
    </row>
    <row r="95" spans="6:11" ht="14.45" customHeight="1" x14ac:dyDescent="0.25">
      <c r="F95" s="32" t="s">
        <v>1182</v>
      </c>
      <c r="G95" s="32"/>
      <c r="H95" s="32"/>
      <c r="I95" s="32"/>
      <c r="J95" s="32"/>
      <c r="K95" s="32"/>
    </row>
    <row r="96" spans="6:11" x14ac:dyDescent="0.25">
      <c r="F96" s="32"/>
      <c r="G96" s="32"/>
      <c r="H96" s="32"/>
      <c r="I96" s="32"/>
      <c r="J96" s="32"/>
      <c r="K96" s="32"/>
    </row>
    <row r="97" spans="6:11" x14ac:dyDescent="0.25">
      <c r="F97" s="32"/>
      <c r="G97" s="32"/>
      <c r="H97" s="32"/>
      <c r="I97" s="32"/>
      <c r="J97" s="32"/>
      <c r="K97" s="32"/>
    </row>
    <row r="98" spans="6:11" x14ac:dyDescent="0.25">
      <c r="F98" s="32"/>
      <c r="G98" s="32"/>
      <c r="H98" s="32"/>
      <c r="I98" s="32"/>
      <c r="J98" s="32"/>
      <c r="K98" s="32"/>
    </row>
    <row r="99" spans="6:11" x14ac:dyDescent="0.25">
      <c r="F99" s="32"/>
      <c r="G99" s="32"/>
      <c r="H99" s="32"/>
      <c r="I99" s="32"/>
      <c r="J99" s="32"/>
      <c r="K99" s="32"/>
    </row>
    <row r="100" spans="6:11" x14ac:dyDescent="0.25">
      <c r="F100" s="2" t="s">
        <v>0</v>
      </c>
      <c r="G100" s="4">
        <v>46286</v>
      </c>
      <c r="H100" s="2" t="s">
        <v>2</v>
      </c>
      <c r="I100" s="1" t="s">
        <v>22</v>
      </c>
      <c r="J100" s="2" t="s">
        <v>11</v>
      </c>
      <c r="K100" s="1" t="s">
        <v>144</v>
      </c>
    </row>
    <row r="101" spans="6:11" x14ac:dyDescent="0.25">
      <c r="F101" s="32" t="s">
        <v>1228</v>
      </c>
      <c r="G101" s="32"/>
      <c r="H101" s="32"/>
      <c r="I101" s="32"/>
      <c r="J101" s="32"/>
      <c r="K101" s="32"/>
    </row>
    <row r="102" spans="6:11" x14ac:dyDescent="0.25">
      <c r="F102" s="32"/>
      <c r="G102" s="32"/>
      <c r="H102" s="32"/>
      <c r="I102" s="32"/>
      <c r="J102" s="32"/>
      <c r="K102" s="32"/>
    </row>
    <row r="103" spans="6:11" x14ac:dyDescent="0.25">
      <c r="F103" s="32"/>
      <c r="G103" s="32"/>
      <c r="H103" s="32"/>
      <c r="I103" s="32"/>
      <c r="J103" s="32"/>
      <c r="K103" s="32"/>
    </row>
  </sheetData>
  <mergeCells count="25">
    <mergeCell ref="F95:K99"/>
    <mergeCell ref="F101:K103"/>
    <mergeCell ref="U1:V1"/>
    <mergeCell ref="F6:K8"/>
    <mergeCell ref="F10:K10"/>
    <mergeCell ref="R1:S1"/>
    <mergeCell ref="F3:K4"/>
    <mergeCell ref="F1:K1"/>
    <mergeCell ref="M1:P1"/>
    <mergeCell ref="F22:K26"/>
    <mergeCell ref="F91:K93"/>
    <mergeCell ref="F12:K14"/>
    <mergeCell ref="F89:K89"/>
    <mergeCell ref="F85:K87"/>
    <mergeCell ref="F39:K46"/>
    <mergeCell ref="F68:K76"/>
    <mergeCell ref="F16:K20"/>
    <mergeCell ref="F64:K66"/>
    <mergeCell ref="F56:K62"/>
    <mergeCell ref="F80:K83"/>
    <mergeCell ref="F78:K78"/>
    <mergeCell ref="F32:K37"/>
    <mergeCell ref="F28:K30"/>
    <mergeCell ref="F52:K54"/>
    <mergeCell ref="F48:K50"/>
  </mergeCells>
  <phoneticPr fontId="4"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E8F5-8AE4-455B-9B79-130DE0D912C1}">
  <dimension ref="A1:V29"/>
  <sheetViews>
    <sheetView topLeftCell="A3" workbookViewId="0">
      <selection activeCell="F28" sqref="F28:K29"/>
    </sheetView>
  </sheetViews>
  <sheetFormatPr baseColWidth="10" defaultRowHeight="15" x14ac:dyDescent="0.25"/>
  <cols>
    <col min="1" max="1" width="11.5703125" style="7"/>
    <col min="2" max="2" width="22.28515625" style="7" bestFit="1" customWidth="1"/>
    <col min="3" max="3" width="11.5703125" style="7"/>
    <col min="4" max="4" width="14.28515625" style="7" bestFit="1" customWidth="1"/>
    <col min="18" max="18" width="21.28515625" bestFit="1" customWidth="1"/>
    <col min="19" max="19" width="19.285156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x14ac:dyDescent="0.25">
      <c r="A2" s="6">
        <v>46202</v>
      </c>
      <c r="B2" s="7" t="s">
        <v>336</v>
      </c>
      <c r="C2" s="7" t="s">
        <v>31</v>
      </c>
      <c r="D2" s="7" t="s">
        <v>337</v>
      </c>
      <c r="F2" s="2" t="s">
        <v>0</v>
      </c>
      <c r="G2" s="4">
        <v>46210</v>
      </c>
      <c r="H2" s="2" t="s">
        <v>2</v>
      </c>
      <c r="I2" s="1" t="s">
        <v>418</v>
      </c>
      <c r="J2" s="2" t="s">
        <v>11</v>
      </c>
      <c r="K2" s="1" t="s">
        <v>14</v>
      </c>
      <c r="M2" s="2" t="s">
        <v>0</v>
      </c>
      <c r="N2" s="1"/>
      <c r="O2" s="2" t="s">
        <v>6</v>
      </c>
      <c r="P2" s="1"/>
      <c r="R2" s="2" t="s">
        <v>11</v>
      </c>
      <c r="S2" s="8" t="s">
        <v>152</v>
      </c>
      <c r="U2" s="3" t="s">
        <v>0</v>
      </c>
      <c r="V2" s="3" t="s">
        <v>88</v>
      </c>
    </row>
    <row r="3" spans="1:22" ht="14.45" customHeight="1" x14ac:dyDescent="0.25">
      <c r="A3" s="6">
        <v>46255</v>
      </c>
      <c r="B3" s="7" t="s">
        <v>950</v>
      </c>
      <c r="C3" s="7" t="s">
        <v>624</v>
      </c>
      <c r="D3" s="7" t="s">
        <v>951</v>
      </c>
      <c r="F3" s="32" t="s">
        <v>441</v>
      </c>
      <c r="G3" s="32"/>
      <c r="H3" s="32"/>
      <c r="I3" s="32"/>
      <c r="J3" s="32"/>
      <c r="K3" s="32"/>
      <c r="R3" s="2" t="s">
        <v>76</v>
      </c>
      <c r="S3" s="8" t="s">
        <v>153</v>
      </c>
    </row>
    <row r="4" spans="1:22" x14ac:dyDescent="0.25">
      <c r="A4" s="6">
        <v>46255</v>
      </c>
      <c r="B4" s="7" t="s">
        <v>952</v>
      </c>
      <c r="C4" s="7" t="s">
        <v>624</v>
      </c>
      <c r="D4" s="7" t="s">
        <v>56</v>
      </c>
      <c r="F4" s="32"/>
      <c r="G4" s="32"/>
      <c r="H4" s="32"/>
      <c r="I4" s="32"/>
      <c r="J4" s="32"/>
      <c r="K4" s="32"/>
      <c r="R4" s="2" t="s">
        <v>77</v>
      </c>
      <c r="S4" s="8"/>
    </row>
    <row r="5" spans="1:22" x14ac:dyDescent="0.25">
      <c r="A5" s="6">
        <v>46265</v>
      </c>
      <c r="B5" s="7" t="s">
        <v>343</v>
      </c>
      <c r="C5" s="7" t="s">
        <v>344</v>
      </c>
      <c r="D5" s="7" t="s">
        <v>669</v>
      </c>
      <c r="F5" s="32"/>
      <c r="G5" s="32"/>
      <c r="H5" s="32"/>
      <c r="I5" s="32"/>
      <c r="J5" s="32"/>
      <c r="K5" s="32"/>
      <c r="R5" s="2" t="s">
        <v>78</v>
      </c>
      <c r="S5" s="8" t="s">
        <v>101</v>
      </c>
    </row>
    <row r="6" spans="1:22" x14ac:dyDescent="0.25">
      <c r="A6" s="6">
        <v>46265</v>
      </c>
      <c r="B6" s="7" t="s">
        <v>1021</v>
      </c>
      <c r="C6" s="7" t="s">
        <v>22</v>
      </c>
      <c r="D6" s="7" t="s">
        <v>56</v>
      </c>
      <c r="F6" s="2" t="s">
        <v>0</v>
      </c>
      <c r="G6" s="4">
        <v>46255</v>
      </c>
      <c r="H6" s="2" t="s">
        <v>2</v>
      </c>
      <c r="I6" s="1" t="s">
        <v>385</v>
      </c>
      <c r="J6" s="2" t="s">
        <v>11</v>
      </c>
      <c r="K6" s="1" t="s">
        <v>14</v>
      </c>
      <c r="R6" s="2" t="s">
        <v>92</v>
      </c>
      <c r="S6" s="8" t="s">
        <v>154</v>
      </c>
    </row>
    <row r="7" spans="1:22" x14ac:dyDescent="0.25">
      <c r="A7" s="6">
        <v>46272</v>
      </c>
      <c r="B7" s="7" t="s">
        <v>1089</v>
      </c>
      <c r="C7" s="7" t="s">
        <v>31</v>
      </c>
      <c r="D7" s="7" t="s">
        <v>1090</v>
      </c>
      <c r="F7" s="32" t="s">
        <v>949</v>
      </c>
      <c r="G7" s="32"/>
      <c r="H7" s="32"/>
      <c r="I7" s="32"/>
      <c r="J7" s="32"/>
      <c r="K7" s="32"/>
      <c r="R7" s="2" t="s">
        <v>80</v>
      </c>
      <c r="S7" s="8" t="s">
        <v>155</v>
      </c>
    </row>
    <row r="8" spans="1:22" x14ac:dyDescent="0.25">
      <c r="A8" s="6">
        <v>46272</v>
      </c>
      <c r="B8" s="7" t="s">
        <v>444</v>
      </c>
      <c r="C8" s="7" t="s">
        <v>9</v>
      </c>
      <c r="D8" s="7" t="s">
        <v>1092</v>
      </c>
      <c r="F8" s="32"/>
      <c r="G8" s="32"/>
      <c r="H8" s="32"/>
      <c r="I8" s="32"/>
      <c r="J8" s="32"/>
      <c r="K8" s="32"/>
      <c r="R8" s="2" t="s">
        <v>81</v>
      </c>
      <c r="S8" s="8" t="s">
        <v>93</v>
      </c>
    </row>
    <row r="9" spans="1:22" x14ac:dyDescent="0.25">
      <c r="A9" s="6">
        <v>46279</v>
      </c>
      <c r="B9" s="7" t="s">
        <v>1154</v>
      </c>
      <c r="C9" s="7" t="s">
        <v>22</v>
      </c>
      <c r="D9" s="7" t="s">
        <v>56</v>
      </c>
      <c r="F9" s="32"/>
      <c r="G9" s="32"/>
      <c r="H9" s="32"/>
      <c r="I9" s="32"/>
      <c r="J9" s="32"/>
      <c r="K9" s="32"/>
      <c r="R9" s="2" t="s">
        <v>82</v>
      </c>
      <c r="S9" s="8">
        <f>S10+S11</f>
        <v>9.2100000000000001E-2</v>
      </c>
    </row>
    <row r="10" spans="1:22" x14ac:dyDescent="0.25">
      <c r="A10" s="6">
        <v>46287</v>
      </c>
      <c r="B10" s="7" t="s">
        <v>1102</v>
      </c>
      <c r="C10" s="7" t="s">
        <v>22</v>
      </c>
      <c r="D10" s="7" t="s">
        <v>1234</v>
      </c>
      <c r="F10" s="2" t="s">
        <v>0</v>
      </c>
      <c r="G10" s="4">
        <v>46264</v>
      </c>
      <c r="H10" s="2" t="s">
        <v>2</v>
      </c>
      <c r="I10" s="1" t="s">
        <v>418</v>
      </c>
      <c r="J10" s="2" t="s">
        <v>11</v>
      </c>
      <c r="K10" s="1" t="s">
        <v>14</v>
      </c>
      <c r="R10" s="2" t="s">
        <v>83</v>
      </c>
      <c r="S10" s="10">
        <v>0.09</v>
      </c>
    </row>
    <row r="11" spans="1:22" x14ac:dyDescent="0.25">
      <c r="F11" s="32" t="s">
        <v>1017</v>
      </c>
      <c r="G11" s="32"/>
      <c r="H11" s="32"/>
      <c r="I11" s="32"/>
      <c r="J11" s="32"/>
      <c r="K11" s="32"/>
      <c r="R11" s="2" t="s">
        <v>84</v>
      </c>
      <c r="S11" s="10">
        <v>2.0999999999999999E-3</v>
      </c>
    </row>
    <row r="12" spans="1:22" x14ac:dyDescent="0.25">
      <c r="F12" s="32"/>
      <c r="G12" s="32"/>
      <c r="H12" s="32"/>
      <c r="I12" s="32"/>
      <c r="J12" s="32"/>
      <c r="K12" s="32"/>
      <c r="R12" s="2" t="s">
        <v>115</v>
      </c>
      <c r="S12" s="8"/>
    </row>
    <row r="13" spans="1:22" x14ac:dyDescent="0.25">
      <c r="F13" s="32"/>
      <c r="G13" s="32"/>
      <c r="H13" s="32"/>
      <c r="I13" s="32"/>
      <c r="J13" s="32"/>
      <c r="K13" s="32"/>
      <c r="R13" s="2" t="s">
        <v>85</v>
      </c>
      <c r="S13" s="8">
        <f>S10</f>
        <v>0.09</v>
      </c>
    </row>
    <row r="14" spans="1:22" x14ac:dyDescent="0.25">
      <c r="F14" s="2" t="s">
        <v>0</v>
      </c>
      <c r="G14" s="4">
        <v>46265</v>
      </c>
      <c r="H14" s="2" t="s">
        <v>2</v>
      </c>
      <c r="I14" s="1" t="s">
        <v>22</v>
      </c>
      <c r="J14" s="2" t="s">
        <v>11</v>
      </c>
      <c r="K14" s="1" t="s">
        <v>14</v>
      </c>
      <c r="R14" s="2" t="s">
        <v>86</v>
      </c>
      <c r="S14" s="10">
        <f>S13*12.032</f>
        <v>1.0828800000000001</v>
      </c>
    </row>
    <row r="15" spans="1:22" x14ac:dyDescent="0.25">
      <c r="F15" s="45" t="s">
        <v>637</v>
      </c>
      <c r="G15" s="45"/>
      <c r="H15" s="45"/>
      <c r="I15" s="45"/>
      <c r="J15" s="45"/>
      <c r="K15" s="45"/>
    </row>
    <row r="16" spans="1:22" x14ac:dyDescent="0.25">
      <c r="F16" s="2" t="s">
        <v>0</v>
      </c>
      <c r="G16" s="4">
        <v>46272</v>
      </c>
      <c r="H16" s="2" t="s">
        <v>2</v>
      </c>
      <c r="I16" s="1" t="s">
        <v>22</v>
      </c>
      <c r="J16" s="2" t="s">
        <v>11</v>
      </c>
      <c r="K16" s="1" t="s">
        <v>14</v>
      </c>
    </row>
    <row r="17" spans="6:11" x14ac:dyDescent="0.25">
      <c r="F17" s="32" t="s">
        <v>1095</v>
      </c>
      <c r="G17" s="32"/>
      <c r="H17" s="32"/>
      <c r="I17" s="32"/>
      <c r="J17" s="32"/>
      <c r="K17" s="32"/>
    </row>
    <row r="18" spans="6:11" x14ac:dyDescent="0.25">
      <c r="F18" s="32"/>
      <c r="G18" s="32"/>
      <c r="H18" s="32"/>
      <c r="I18" s="32"/>
      <c r="J18" s="32"/>
      <c r="K18" s="32"/>
    </row>
    <row r="19" spans="6:11" x14ac:dyDescent="0.25">
      <c r="F19" s="32"/>
      <c r="G19" s="32"/>
      <c r="H19" s="32"/>
      <c r="I19" s="32"/>
      <c r="J19" s="32"/>
      <c r="K19" s="32"/>
    </row>
    <row r="20" spans="6:11" x14ac:dyDescent="0.25">
      <c r="F20" s="2" t="s">
        <v>0</v>
      </c>
      <c r="G20" s="4">
        <v>46279</v>
      </c>
      <c r="H20" s="2" t="s">
        <v>2</v>
      </c>
      <c r="I20" s="1" t="s">
        <v>22</v>
      </c>
      <c r="J20" s="2" t="s">
        <v>11</v>
      </c>
      <c r="K20" s="1" t="s">
        <v>14</v>
      </c>
    </row>
    <row r="21" spans="6:11" ht="14.45" customHeight="1" x14ac:dyDescent="0.25">
      <c r="F21" s="37" t="s">
        <v>1157</v>
      </c>
      <c r="G21" s="37"/>
      <c r="H21" s="37"/>
      <c r="I21" s="37"/>
      <c r="J21" s="37"/>
      <c r="K21" s="37"/>
    </row>
    <row r="22" spans="6:11" x14ac:dyDescent="0.25">
      <c r="F22" s="37"/>
      <c r="G22" s="37"/>
      <c r="H22" s="37"/>
      <c r="I22" s="37"/>
      <c r="J22" s="37"/>
      <c r="K22" s="37"/>
    </row>
    <row r="23" spans="6:11" x14ac:dyDescent="0.25">
      <c r="F23" s="37"/>
      <c r="G23" s="37"/>
      <c r="H23" s="37"/>
      <c r="I23" s="37"/>
      <c r="J23" s="37"/>
      <c r="K23" s="37"/>
    </row>
    <row r="24" spans="6:11" x14ac:dyDescent="0.25">
      <c r="F24" s="2" t="s">
        <v>0</v>
      </c>
      <c r="G24" s="4">
        <v>46285</v>
      </c>
      <c r="H24" s="2" t="s">
        <v>2</v>
      </c>
      <c r="I24" s="1" t="s">
        <v>35</v>
      </c>
      <c r="J24" s="2" t="s">
        <v>11</v>
      </c>
      <c r="K24" s="1" t="s">
        <v>14</v>
      </c>
    </row>
    <row r="25" spans="6:11" x14ac:dyDescent="0.25">
      <c r="F25" s="37" t="s">
        <v>1224</v>
      </c>
      <c r="G25" s="37"/>
      <c r="H25" s="37"/>
      <c r="I25" s="37"/>
      <c r="J25" s="37"/>
      <c r="K25" s="37"/>
    </row>
    <row r="26" spans="6:11" x14ac:dyDescent="0.25">
      <c r="F26" s="37"/>
      <c r="G26" s="37"/>
      <c r="H26" s="37"/>
      <c r="I26" s="37"/>
      <c r="J26" s="37"/>
      <c r="K26" s="37"/>
    </row>
    <row r="27" spans="6:11" x14ac:dyDescent="0.25">
      <c r="F27" s="37"/>
      <c r="G27" s="37"/>
      <c r="H27" s="37"/>
      <c r="I27" s="37"/>
      <c r="J27" s="37"/>
      <c r="K27" s="37"/>
    </row>
    <row r="28" spans="6:11" x14ac:dyDescent="0.25">
      <c r="F28" s="2" t="s">
        <v>0</v>
      </c>
      <c r="G28" s="4">
        <v>46287</v>
      </c>
      <c r="H28" s="2" t="s">
        <v>2</v>
      </c>
      <c r="I28" s="1" t="s">
        <v>22</v>
      </c>
      <c r="J28" s="2" t="s">
        <v>11</v>
      </c>
      <c r="K28" s="1" t="s">
        <v>14</v>
      </c>
    </row>
    <row r="29" spans="6:11" x14ac:dyDescent="0.25">
      <c r="F29" s="45" t="s">
        <v>637</v>
      </c>
      <c r="G29" s="45"/>
      <c r="H29" s="45"/>
      <c r="I29" s="45"/>
      <c r="J29" s="45"/>
      <c r="K29" s="45"/>
    </row>
  </sheetData>
  <mergeCells count="12">
    <mergeCell ref="U1:V1"/>
    <mergeCell ref="F1:K1"/>
    <mergeCell ref="F11:K13"/>
    <mergeCell ref="F7:K9"/>
    <mergeCell ref="F3:K5"/>
    <mergeCell ref="M1:P1"/>
    <mergeCell ref="R1:S1"/>
    <mergeCell ref="F29:K29"/>
    <mergeCell ref="F25:K27"/>
    <mergeCell ref="F21:K23"/>
    <mergeCell ref="F17:K19"/>
    <mergeCell ref="F15:K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26DC7-20DB-4BAC-82FF-201644460612}">
  <dimension ref="A1:X178"/>
  <sheetViews>
    <sheetView tabSelected="1" workbookViewId="0"/>
  </sheetViews>
  <sheetFormatPr baseColWidth="10" defaultRowHeight="15" x14ac:dyDescent="0.25"/>
  <cols>
    <col min="1" max="1" width="11.5703125" style="7"/>
    <col min="2" max="2" width="26.140625" style="7" bestFit="1" customWidth="1"/>
    <col min="3" max="3" width="11.5703125" style="7"/>
    <col min="4" max="4" width="42.42578125" style="7" bestFit="1" customWidth="1"/>
    <col min="13" max="13" width="12.42578125" bestFit="1" customWidth="1"/>
    <col min="14" max="14" width="13.28515625" bestFit="1" customWidth="1"/>
    <col min="18" max="18" width="14.28515625" bestFit="1" customWidth="1"/>
    <col min="20" max="20" width="21.28515625" bestFit="1" customWidth="1"/>
    <col min="21" max="21" width="29.140625" bestFit="1" customWidth="1"/>
    <col min="23" max="23" width="11.5703125" style="7"/>
    <col min="24" max="24" width="15" style="7" bestFit="1" customWidth="1"/>
  </cols>
  <sheetData>
    <row r="1" spans="1:24" x14ac:dyDescent="0.25">
      <c r="A1" s="3" t="s">
        <v>0</v>
      </c>
      <c r="B1" s="3" t="s">
        <v>1</v>
      </c>
      <c r="C1" s="3" t="s">
        <v>2</v>
      </c>
      <c r="D1" s="3" t="s">
        <v>3</v>
      </c>
      <c r="F1" s="36" t="s">
        <v>4</v>
      </c>
      <c r="G1" s="36"/>
      <c r="H1" s="36"/>
      <c r="I1" s="36"/>
      <c r="J1" s="36"/>
      <c r="K1" s="36"/>
      <c r="M1" s="36" t="s">
        <v>5</v>
      </c>
      <c r="N1" s="36"/>
      <c r="O1" s="36"/>
      <c r="P1" s="36"/>
      <c r="Q1" s="36"/>
      <c r="R1" s="36"/>
      <c r="T1" s="34" t="s">
        <v>7</v>
      </c>
      <c r="U1" s="35"/>
      <c r="W1" s="33" t="s">
        <v>87</v>
      </c>
      <c r="X1" s="33"/>
    </row>
    <row r="2" spans="1:24" ht="14.45" customHeight="1" x14ac:dyDescent="0.25">
      <c r="A2" s="6">
        <v>46175</v>
      </c>
      <c r="B2" s="7" t="s">
        <v>346</v>
      </c>
      <c r="C2" s="7" t="s">
        <v>344</v>
      </c>
      <c r="D2" s="7" t="s">
        <v>53</v>
      </c>
      <c r="F2" s="2" t="s">
        <v>0</v>
      </c>
      <c r="G2" s="4">
        <v>46196</v>
      </c>
      <c r="H2" s="2" t="s">
        <v>2</v>
      </c>
      <c r="I2" s="1" t="s">
        <v>47</v>
      </c>
      <c r="J2" s="2" t="s">
        <v>11</v>
      </c>
      <c r="K2" s="1" t="s">
        <v>14</v>
      </c>
      <c r="M2" s="16" t="s">
        <v>0</v>
      </c>
      <c r="N2" s="1">
        <v>2022</v>
      </c>
      <c r="O2" s="22" t="s">
        <v>6</v>
      </c>
      <c r="P2" s="18" t="s">
        <v>282</v>
      </c>
      <c r="Q2" s="11" t="s">
        <v>11</v>
      </c>
      <c r="R2" s="8" t="s">
        <v>163</v>
      </c>
      <c r="T2" s="2" t="s">
        <v>11</v>
      </c>
      <c r="U2" s="8" t="s">
        <v>156</v>
      </c>
      <c r="W2" s="3" t="s">
        <v>0</v>
      </c>
      <c r="X2" s="3" t="s">
        <v>88</v>
      </c>
    </row>
    <row r="3" spans="1:24" x14ac:dyDescent="0.25">
      <c r="A3" s="6">
        <v>46182</v>
      </c>
      <c r="B3" s="7" t="s">
        <v>343</v>
      </c>
      <c r="C3" s="7" t="s">
        <v>344</v>
      </c>
      <c r="D3" s="7" t="s">
        <v>345</v>
      </c>
      <c r="F3" s="32" t="s">
        <v>50</v>
      </c>
      <c r="G3" s="32"/>
      <c r="H3" s="32"/>
      <c r="I3" s="32"/>
      <c r="J3" s="32"/>
      <c r="K3" s="32"/>
      <c r="M3" s="15" t="s">
        <v>283</v>
      </c>
      <c r="N3" s="3" t="s">
        <v>312</v>
      </c>
      <c r="O3" s="3" t="s">
        <v>313</v>
      </c>
      <c r="T3" s="2" t="s">
        <v>76</v>
      </c>
      <c r="U3" s="8" t="s">
        <v>157</v>
      </c>
    </row>
    <row r="4" spans="1:24" x14ac:dyDescent="0.25">
      <c r="A4" s="6">
        <v>46196</v>
      </c>
      <c r="B4" s="7" t="s">
        <v>48</v>
      </c>
      <c r="C4" s="7" t="s">
        <v>47</v>
      </c>
      <c r="D4" s="7" t="s">
        <v>49</v>
      </c>
      <c r="F4" s="32"/>
      <c r="G4" s="32"/>
      <c r="H4" s="32"/>
      <c r="I4" s="32"/>
      <c r="J4" s="32"/>
      <c r="K4" s="32"/>
      <c r="M4" s="15" t="s">
        <v>284</v>
      </c>
      <c r="N4" s="12" t="s">
        <v>314</v>
      </c>
      <c r="O4" s="12" t="s">
        <v>314</v>
      </c>
      <c r="T4" s="2" t="s">
        <v>77</v>
      </c>
      <c r="U4" s="8"/>
    </row>
    <row r="5" spans="1:24" x14ac:dyDescent="0.25">
      <c r="A5" s="6">
        <v>46196</v>
      </c>
      <c r="B5" s="7" t="s">
        <v>30</v>
      </c>
      <c r="C5" s="7" t="s">
        <v>31</v>
      </c>
      <c r="D5" s="7" t="s">
        <v>68</v>
      </c>
      <c r="F5" s="2" t="s">
        <v>0</v>
      </c>
      <c r="G5" s="4">
        <v>46197</v>
      </c>
      <c r="H5" s="2" t="s">
        <v>2</v>
      </c>
      <c r="I5" s="1" t="s">
        <v>16</v>
      </c>
      <c r="J5" s="2" t="s">
        <v>11</v>
      </c>
      <c r="K5" s="1" t="s">
        <v>14</v>
      </c>
      <c r="M5" s="11" t="s">
        <v>285</v>
      </c>
      <c r="N5" s="13">
        <v>1.1000000000000001</v>
      </c>
      <c r="O5" s="13">
        <v>1.01</v>
      </c>
      <c r="T5" s="2" t="s">
        <v>78</v>
      </c>
      <c r="U5" s="8" t="s">
        <v>101</v>
      </c>
    </row>
    <row r="6" spans="1:24" x14ac:dyDescent="0.25">
      <c r="A6" s="6">
        <v>46197</v>
      </c>
      <c r="B6" s="7" t="s">
        <v>52</v>
      </c>
      <c r="C6" s="7" t="s">
        <v>18</v>
      </c>
      <c r="D6" s="7" t="s">
        <v>53</v>
      </c>
      <c r="F6" s="32" t="s">
        <v>51</v>
      </c>
      <c r="G6" s="32"/>
      <c r="H6" s="32"/>
      <c r="I6" s="32"/>
      <c r="J6" s="32"/>
      <c r="K6" s="32"/>
      <c r="M6" s="11" t="s">
        <v>286</v>
      </c>
      <c r="N6" s="14">
        <v>8.1999999999999993</v>
      </c>
      <c r="O6" s="14">
        <v>8.1999999999999993</v>
      </c>
      <c r="T6" s="2" t="s">
        <v>92</v>
      </c>
      <c r="U6" s="8" t="s">
        <v>144</v>
      </c>
    </row>
    <row r="7" spans="1:24" x14ac:dyDescent="0.25">
      <c r="A7" s="6">
        <v>46197</v>
      </c>
      <c r="B7" s="7" t="s">
        <v>8</v>
      </c>
      <c r="C7" s="7" t="s">
        <v>9</v>
      </c>
      <c r="D7" s="7" t="s">
        <v>69</v>
      </c>
      <c r="F7" s="32"/>
      <c r="G7" s="32"/>
      <c r="H7" s="32"/>
      <c r="I7" s="32"/>
      <c r="J7" s="32"/>
      <c r="K7" s="32"/>
      <c r="M7" s="11" t="s">
        <v>287</v>
      </c>
      <c r="N7" s="1">
        <v>0.16</v>
      </c>
      <c r="O7" s="1">
        <v>0.16</v>
      </c>
      <c r="T7" s="2" t="s">
        <v>80</v>
      </c>
      <c r="U7" s="8" t="s">
        <v>158</v>
      </c>
    </row>
    <row r="8" spans="1:24" x14ac:dyDescent="0.25">
      <c r="A8" s="6">
        <v>46198</v>
      </c>
      <c r="B8" s="7" t="s">
        <v>8</v>
      </c>
      <c r="C8" s="7" t="s">
        <v>18</v>
      </c>
      <c r="D8" s="7" t="s">
        <v>70</v>
      </c>
      <c r="F8" s="2" t="s">
        <v>0</v>
      </c>
      <c r="G8" s="4">
        <v>46204</v>
      </c>
      <c r="H8" s="2" t="s">
        <v>2</v>
      </c>
      <c r="I8" s="1" t="s">
        <v>22</v>
      </c>
      <c r="J8" s="2" t="s">
        <v>11</v>
      </c>
      <c r="K8" s="1" t="s">
        <v>53</v>
      </c>
      <c r="M8" s="11" t="s">
        <v>288</v>
      </c>
      <c r="N8" s="1">
        <v>1.37</v>
      </c>
      <c r="O8" s="1">
        <v>1.1200000000000001</v>
      </c>
      <c r="T8" s="2" t="s">
        <v>81</v>
      </c>
      <c r="U8" s="8" t="s">
        <v>93</v>
      </c>
    </row>
    <row r="9" spans="1:24" ht="14.45" customHeight="1" x14ac:dyDescent="0.25">
      <c r="A9" s="6">
        <v>46198</v>
      </c>
      <c r="B9" s="7" t="s">
        <v>30</v>
      </c>
      <c r="C9" s="7" t="s">
        <v>31</v>
      </c>
      <c r="D9" s="7" t="s">
        <v>71</v>
      </c>
      <c r="F9" s="32" t="s">
        <v>354</v>
      </c>
      <c r="G9" s="32"/>
      <c r="H9" s="32"/>
      <c r="I9" s="32"/>
      <c r="J9" s="32"/>
      <c r="K9" s="32"/>
      <c r="M9" s="11" t="s">
        <v>289</v>
      </c>
      <c r="N9" s="13">
        <v>2.36</v>
      </c>
      <c r="O9" s="13">
        <v>1.93</v>
      </c>
      <c r="T9" s="2" t="s">
        <v>82</v>
      </c>
      <c r="U9" s="8">
        <f>U10+U11</f>
        <v>0.50339999999999996</v>
      </c>
    </row>
    <row r="10" spans="1:24" x14ac:dyDescent="0.25">
      <c r="A10" s="6">
        <v>46211</v>
      </c>
      <c r="B10" s="7" t="s">
        <v>30</v>
      </c>
      <c r="C10" s="7" t="s">
        <v>31</v>
      </c>
      <c r="D10" s="7" t="s">
        <v>483</v>
      </c>
      <c r="F10" s="32"/>
      <c r="G10" s="32"/>
      <c r="H10" s="32"/>
      <c r="I10" s="32"/>
      <c r="J10" s="32"/>
      <c r="K10" s="32"/>
      <c r="M10" s="11" t="s">
        <v>290</v>
      </c>
      <c r="N10" s="13">
        <v>28.82</v>
      </c>
      <c r="O10" s="13">
        <v>30.26</v>
      </c>
      <c r="T10" s="2" t="s">
        <v>83</v>
      </c>
      <c r="U10" s="8">
        <v>0.50339999999999996</v>
      </c>
    </row>
    <row r="11" spans="1:24" x14ac:dyDescent="0.25">
      <c r="A11" s="6">
        <v>46213</v>
      </c>
      <c r="B11" s="7" t="s">
        <v>8</v>
      </c>
      <c r="C11" s="7" t="s">
        <v>9</v>
      </c>
      <c r="D11" s="7" t="s">
        <v>484</v>
      </c>
      <c r="F11" s="32"/>
      <c r="G11" s="32"/>
      <c r="H11" s="32"/>
      <c r="I11" s="32"/>
      <c r="J11" s="32"/>
      <c r="K11" s="32"/>
      <c r="M11" s="11" t="s">
        <v>291</v>
      </c>
      <c r="N11" s="1">
        <v>9</v>
      </c>
      <c r="O11" s="1">
        <v>9</v>
      </c>
      <c r="T11" s="2" t="s">
        <v>84</v>
      </c>
      <c r="U11" s="8">
        <v>0</v>
      </c>
    </row>
    <row r="12" spans="1:24" x14ac:dyDescent="0.25">
      <c r="A12" s="6">
        <v>46218</v>
      </c>
      <c r="B12" s="7" t="s">
        <v>530</v>
      </c>
      <c r="C12" s="7" t="s">
        <v>350</v>
      </c>
      <c r="D12" s="7" t="s">
        <v>536</v>
      </c>
      <c r="F12" s="2" t="s">
        <v>0</v>
      </c>
      <c r="G12" s="4">
        <v>46204</v>
      </c>
      <c r="H12" s="2" t="s">
        <v>2</v>
      </c>
      <c r="I12" s="1" t="s">
        <v>22</v>
      </c>
      <c r="J12" s="2" t="s">
        <v>11</v>
      </c>
      <c r="K12" s="1" t="s">
        <v>352</v>
      </c>
      <c r="M12" s="11" t="s">
        <v>292</v>
      </c>
      <c r="N12" s="13">
        <v>0.14000000000000001</v>
      </c>
      <c r="O12" s="13">
        <v>0.11</v>
      </c>
      <c r="T12" s="2" t="s">
        <v>115</v>
      </c>
      <c r="U12" s="8"/>
    </row>
    <row r="13" spans="1:24" ht="14.45" customHeight="1" x14ac:dyDescent="0.25">
      <c r="A13" s="6">
        <v>46219</v>
      </c>
      <c r="B13" s="7" t="s">
        <v>48</v>
      </c>
      <c r="C13" s="7" t="s">
        <v>47</v>
      </c>
      <c r="D13" s="7" t="s">
        <v>550</v>
      </c>
      <c r="F13" s="32" t="s">
        <v>353</v>
      </c>
      <c r="G13" s="32"/>
      <c r="H13" s="32"/>
      <c r="I13" s="32"/>
      <c r="J13" s="32"/>
      <c r="K13" s="32"/>
      <c r="M13" s="11" t="s">
        <v>293</v>
      </c>
      <c r="N13" s="14">
        <v>9</v>
      </c>
      <c r="O13" s="14">
        <v>17</v>
      </c>
      <c r="T13" s="2" t="s">
        <v>11</v>
      </c>
      <c r="U13" s="8" t="s">
        <v>159</v>
      </c>
    </row>
    <row r="14" spans="1:24" x14ac:dyDescent="0.25">
      <c r="A14" s="6">
        <v>46225</v>
      </c>
      <c r="B14" s="7" t="s">
        <v>30</v>
      </c>
      <c r="C14" s="7" t="s">
        <v>31</v>
      </c>
      <c r="D14" s="7" t="s">
        <v>597</v>
      </c>
      <c r="F14" s="32"/>
      <c r="G14" s="32"/>
      <c r="H14" s="32"/>
      <c r="I14" s="32"/>
      <c r="J14" s="32"/>
      <c r="K14" s="32"/>
      <c r="M14" s="11" t="s">
        <v>294</v>
      </c>
      <c r="N14" s="1">
        <v>58.8</v>
      </c>
      <c r="O14" s="1">
        <v>44</v>
      </c>
      <c r="T14" s="2" t="s">
        <v>76</v>
      </c>
      <c r="U14" s="8" t="s">
        <v>160</v>
      </c>
    </row>
    <row r="15" spans="1:24" x14ac:dyDescent="0.25">
      <c r="A15" s="6">
        <v>46226</v>
      </c>
      <c r="B15" s="7" t="s">
        <v>30</v>
      </c>
      <c r="C15" s="7" t="s">
        <v>31</v>
      </c>
      <c r="D15" s="7" t="s">
        <v>596</v>
      </c>
      <c r="F15" s="32"/>
      <c r="G15" s="32"/>
      <c r="H15" s="32"/>
      <c r="I15" s="32"/>
      <c r="J15" s="32"/>
      <c r="K15" s="32"/>
      <c r="M15" s="11" t="s">
        <v>295</v>
      </c>
      <c r="N15" s="1">
        <v>317</v>
      </c>
      <c r="O15" s="1">
        <v>298</v>
      </c>
      <c r="T15" s="2" t="s">
        <v>77</v>
      </c>
      <c r="U15" s="8"/>
    </row>
    <row r="16" spans="1:24" x14ac:dyDescent="0.25">
      <c r="A16" s="6">
        <v>46226</v>
      </c>
      <c r="B16" s="7" t="s">
        <v>619</v>
      </c>
      <c r="C16" s="7" t="s">
        <v>9</v>
      </c>
      <c r="D16" s="7" t="s">
        <v>629</v>
      </c>
      <c r="F16" s="32"/>
      <c r="G16" s="32"/>
      <c r="H16" s="32"/>
      <c r="I16" s="32"/>
      <c r="J16" s="32"/>
      <c r="K16" s="32"/>
      <c r="M16" s="11" t="s">
        <v>296</v>
      </c>
      <c r="N16" s="1">
        <v>6163</v>
      </c>
      <c r="O16" s="1">
        <v>6207</v>
      </c>
      <c r="T16" s="2" t="s">
        <v>78</v>
      </c>
      <c r="U16" s="8" t="s">
        <v>101</v>
      </c>
    </row>
    <row r="17" spans="1:21" x14ac:dyDescent="0.25">
      <c r="A17" s="6">
        <v>46227</v>
      </c>
      <c r="B17" s="7" t="s">
        <v>619</v>
      </c>
      <c r="C17" s="7" t="s">
        <v>9</v>
      </c>
      <c r="D17" s="7" t="s">
        <v>630</v>
      </c>
      <c r="F17" s="2" t="s">
        <v>0</v>
      </c>
      <c r="G17" s="4">
        <v>46205</v>
      </c>
      <c r="H17" s="2" t="s">
        <v>2</v>
      </c>
      <c r="I17" s="1" t="s">
        <v>350</v>
      </c>
      <c r="J17" s="2" t="s">
        <v>11</v>
      </c>
      <c r="K17" s="1" t="s">
        <v>14</v>
      </c>
      <c r="M17" s="11" t="s">
        <v>297</v>
      </c>
      <c r="N17" s="1">
        <v>184</v>
      </c>
      <c r="O17" s="1">
        <v>181</v>
      </c>
      <c r="T17" s="2" t="s">
        <v>92</v>
      </c>
      <c r="U17" s="8" t="s">
        <v>144</v>
      </c>
    </row>
    <row r="18" spans="1:21" x14ac:dyDescent="0.25">
      <c r="A18" s="6">
        <v>46229</v>
      </c>
      <c r="B18" s="7" t="s">
        <v>651</v>
      </c>
      <c r="C18" s="7" t="s">
        <v>9</v>
      </c>
      <c r="D18" s="7" t="s">
        <v>53</v>
      </c>
      <c r="F18" s="32" t="s">
        <v>384</v>
      </c>
      <c r="G18" s="32"/>
      <c r="H18" s="32"/>
      <c r="I18" s="32"/>
      <c r="J18" s="32"/>
      <c r="K18" s="32"/>
      <c r="M18" s="11" t="s">
        <v>298</v>
      </c>
      <c r="N18" s="1">
        <v>32</v>
      </c>
      <c r="O18" s="1">
        <v>28</v>
      </c>
      <c r="T18" s="2" t="s">
        <v>80</v>
      </c>
      <c r="U18" s="8" t="s">
        <v>158</v>
      </c>
    </row>
    <row r="19" spans="1:21" x14ac:dyDescent="0.25">
      <c r="A19" s="6">
        <v>46230</v>
      </c>
      <c r="B19" s="7" t="s">
        <v>30</v>
      </c>
      <c r="C19" s="7" t="s">
        <v>31</v>
      </c>
      <c r="D19" s="7" t="s">
        <v>662</v>
      </c>
      <c r="F19" s="32"/>
      <c r="G19" s="32"/>
      <c r="H19" s="32"/>
      <c r="I19" s="32"/>
      <c r="J19" s="32"/>
      <c r="K19" s="32"/>
      <c r="M19" s="11" t="s">
        <v>299</v>
      </c>
      <c r="N19" s="1">
        <v>1.07</v>
      </c>
      <c r="O19" s="1">
        <v>1.41</v>
      </c>
      <c r="T19" s="2" t="s">
        <v>81</v>
      </c>
      <c r="U19" s="8" t="s">
        <v>93</v>
      </c>
    </row>
    <row r="20" spans="1:21" x14ac:dyDescent="0.25">
      <c r="A20" s="6">
        <v>46233</v>
      </c>
      <c r="B20" s="7" t="s">
        <v>8</v>
      </c>
      <c r="C20" s="7" t="s">
        <v>16</v>
      </c>
      <c r="D20" s="7" t="s">
        <v>704</v>
      </c>
      <c r="F20" s="2" t="s">
        <v>0</v>
      </c>
      <c r="G20" s="4">
        <v>46213</v>
      </c>
      <c r="H20" s="2" t="s">
        <v>2</v>
      </c>
      <c r="I20" s="1" t="s">
        <v>22</v>
      </c>
      <c r="J20" s="2" t="s">
        <v>11</v>
      </c>
      <c r="K20" s="1" t="s">
        <v>14</v>
      </c>
      <c r="M20" s="11" t="s">
        <v>300</v>
      </c>
      <c r="N20" s="1">
        <v>256</v>
      </c>
      <c r="O20" s="1">
        <v>210</v>
      </c>
      <c r="T20" s="2" t="s">
        <v>82</v>
      </c>
      <c r="U20" s="8">
        <f>U21+U22</f>
        <v>0.19739999999999999</v>
      </c>
    </row>
    <row r="21" spans="1:21" ht="14.45" customHeight="1" x14ac:dyDescent="0.25">
      <c r="A21" s="6">
        <v>46234</v>
      </c>
      <c r="B21" s="7" t="s">
        <v>8</v>
      </c>
      <c r="C21" s="7" t="s">
        <v>22</v>
      </c>
      <c r="D21" s="7" t="s">
        <v>720</v>
      </c>
      <c r="F21" s="32" t="s">
        <v>485</v>
      </c>
      <c r="G21" s="32"/>
      <c r="H21" s="32"/>
      <c r="I21" s="32"/>
      <c r="J21" s="32"/>
      <c r="K21" s="32"/>
      <c r="M21" s="11" t="s">
        <v>301</v>
      </c>
      <c r="N21" s="1">
        <v>14.5</v>
      </c>
      <c r="O21" s="1">
        <v>15.5</v>
      </c>
      <c r="T21" s="2" t="s">
        <v>83</v>
      </c>
      <c r="U21" s="8">
        <v>0.18679999999999999</v>
      </c>
    </row>
    <row r="22" spans="1:21" x14ac:dyDescent="0.25">
      <c r="A22" s="6">
        <v>46237</v>
      </c>
      <c r="B22" s="7" t="s">
        <v>736</v>
      </c>
      <c r="C22" s="7" t="s">
        <v>22</v>
      </c>
      <c r="D22" s="7">
        <v>13</v>
      </c>
      <c r="F22" s="32"/>
      <c r="G22" s="32"/>
      <c r="H22" s="32"/>
      <c r="I22" s="32"/>
      <c r="J22" s="32"/>
      <c r="K22" s="32"/>
      <c r="M22" s="11" t="s">
        <v>302</v>
      </c>
      <c r="N22" s="1">
        <v>133</v>
      </c>
      <c r="O22" s="1">
        <v>131</v>
      </c>
      <c r="T22" s="2" t="s">
        <v>84</v>
      </c>
      <c r="U22" s="8">
        <v>1.06E-2</v>
      </c>
    </row>
    <row r="23" spans="1:21" x14ac:dyDescent="0.25">
      <c r="A23" s="6">
        <v>46237</v>
      </c>
      <c r="B23" s="7" t="s">
        <v>744</v>
      </c>
      <c r="C23" s="7" t="s">
        <v>18</v>
      </c>
      <c r="D23" s="7" t="s">
        <v>45</v>
      </c>
      <c r="F23" s="32"/>
      <c r="G23" s="32"/>
      <c r="H23" s="32"/>
      <c r="I23" s="32"/>
      <c r="J23" s="32"/>
      <c r="K23" s="32"/>
      <c r="M23" s="11" t="s">
        <v>303</v>
      </c>
      <c r="N23" s="1">
        <v>51</v>
      </c>
      <c r="O23" s="1">
        <v>57</v>
      </c>
      <c r="T23" s="2" t="s">
        <v>115</v>
      </c>
      <c r="U23" s="8"/>
    </row>
    <row r="24" spans="1:21" x14ac:dyDescent="0.25">
      <c r="A24" s="6">
        <v>46239</v>
      </c>
      <c r="B24" s="7" t="s">
        <v>30</v>
      </c>
      <c r="C24" s="7" t="s">
        <v>63</v>
      </c>
      <c r="D24" s="7" t="s">
        <v>696</v>
      </c>
      <c r="F24" s="32"/>
      <c r="G24" s="32"/>
      <c r="H24" s="32"/>
      <c r="I24" s="32"/>
      <c r="J24" s="32"/>
      <c r="K24" s="32"/>
      <c r="M24" s="11" t="s">
        <v>304</v>
      </c>
      <c r="N24" s="13">
        <v>0.15</v>
      </c>
      <c r="O24" s="13">
        <v>0.16</v>
      </c>
      <c r="T24" s="2" t="s">
        <v>11</v>
      </c>
      <c r="U24" s="8" t="s">
        <v>161</v>
      </c>
    </row>
    <row r="25" spans="1:21" x14ac:dyDescent="0.25">
      <c r="A25" s="6">
        <v>46239</v>
      </c>
      <c r="B25" s="7" t="s">
        <v>766</v>
      </c>
      <c r="C25" s="7" t="s">
        <v>22</v>
      </c>
      <c r="D25" s="7" t="s">
        <v>767</v>
      </c>
      <c r="F25" s="32"/>
      <c r="G25" s="32"/>
      <c r="H25" s="32"/>
      <c r="I25" s="32"/>
      <c r="J25" s="32"/>
      <c r="K25" s="32"/>
      <c r="M25" s="11" t="s">
        <v>305</v>
      </c>
      <c r="N25" s="1">
        <v>9.91</v>
      </c>
      <c r="O25" s="1">
        <v>10.58</v>
      </c>
      <c r="T25" s="2" t="s">
        <v>76</v>
      </c>
      <c r="U25" s="8" t="s">
        <v>162</v>
      </c>
    </row>
    <row r="26" spans="1:21" x14ac:dyDescent="0.25">
      <c r="A26" s="6">
        <v>46239</v>
      </c>
      <c r="B26" s="7" t="s">
        <v>768</v>
      </c>
      <c r="C26" s="7" t="s">
        <v>22</v>
      </c>
      <c r="D26" s="7" t="s">
        <v>53</v>
      </c>
      <c r="F26" s="32"/>
      <c r="G26" s="32"/>
      <c r="H26" s="32"/>
      <c r="I26" s="32"/>
      <c r="J26" s="32"/>
      <c r="K26" s="32"/>
      <c r="M26" s="11" t="s">
        <v>306</v>
      </c>
      <c r="N26" s="14">
        <v>33.4</v>
      </c>
      <c r="O26" s="14">
        <v>34.200000000000003</v>
      </c>
      <c r="T26" s="2" t="s">
        <v>77</v>
      </c>
      <c r="U26" s="8"/>
    </row>
    <row r="27" spans="1:21" x14ac:dyDescent="0.25">
      <c r="A27" s="6">
        <v>46240</v>
      </c>
      <c r="B27" s="7" t="s">
        <v>343</v>
      </c>
      <c r="C27" s="7" t="s">
        <v>344</v>
      </c>
      <c r="D27" s="7" t="s">
        <v>1029</v>
      </c>
      <c r="F27" s="32"/>
      <c r="G27" s="32"/>
      <c r="H27" s="32"/>
      <c r="I27" s="32"/>
      <c r="J27" s="32"/>
      <c r="K27" s="32"/>
      <c r="M27" s="11" t="s">
        <v>307</v>
      </c>
      <c r="N27" s="1">
        <v>0.6</v>
      </c>
      <c r="O27" s="1">
        <v>0.6</v>
      </c>
      <c r="T27" s="2" t="s">
        <v>78</v>
      </c>
      <c r="U27" s="8" t="s">
        <v>101</v>
      </c>
    </row>
    <row r="28" spans="1:21" x14ac:dyDescent="0.25">
      <c r="A28" s="6">
        <v>46245</v>
      </c>
      <c r="B28" s="7" t="s">
        <v>766</v>
      </c>
      <c r="C28" s="7" t="s">
        <v>22</v>
      </c>
      <c r="D28" s="7" t="s">
        <v>863</v>
      </c>
      <c r="F28" s="32"/>
      <c r="G28" s="32"/>
      <c r="H28" s="32"/>
      <c r="I28" s="32"/>
      <c r="J28" s="32"/>
      <c r="K28" s="32"/>
      <c r="M28" s="11" t="s">
        <v>308</v>
      </c>
      <c r="N28" s="1">
        <v>19.399999999999999</v>
      </c>
      <c r="O28" s="1">
        <v>20.8</v>
      </c>
      <c r="T28" s="2" t="s">
        <v>92</v>
      </c>
      <c r="U28" s="8" t="s">
        <v>144</v>
      </c>
    </row>
    <row r="29" spans="1:21" x14ac:dyDescent="0.25">
      <c r="A29" s="6">
        <v>46245</v>
      </c>
      <c r="B29" s="7" t="s">
        <v>768</v>
      </c>
      <c r="C29" s="7" t="s">
        <v>22</v>
      </c>
      <c r="D29" s="7" t="s">
        <v>864</v>
      </c>
      <c r="F29" s="32"/>
      <c r="G29" s="32"/>
      <c r="H29" s="32"/>
      <c r="I29" s="32"/>
      <c r="J29" s="32"/>
      <c r="K29" s="32"/>
      <c r="M29" s="11" t="s">
        <v>309</v>
      </c>
      <c r="N29" s="1">
        <v>26.1</v>
      </c>
      <c r="O29" s="1">
        <v>24.1</v>
      </c>
      <c r="T29" s="2" t="s">
        <v>80</v>
      </c>
      <c r="U29" s="7" t="s">
        <v>158</v>
      </c>
    </row>
    <row r="30" spans="1:21" x14ac:dyDescent="0.25">
      <c r="A30" s="6">
        <v>46246</v>
      </c>
      <c r="B30" s="7" t="s">
        <v>874</v>
      </c>
      <c r="C30" s="7" t="s">
        <v>22</v>
      </c>
      <c r="D30" s="7" t="s">
        <v>56</v>
      </c>
      <c r="F30" s="32"/>
      <c r="G30" s="32"/>
      <c r="H30" s="32"/>
      <c r="I30" s="32"/>
      <c r="J30" s="32"/>
      <c r="K30" s="32"/>
      <c r="M30" s="11" t="s">
        <v>310</v>
      </c>
      <c r="N30" s="1">
        <v>25.4</v>
      </c>
      <c r="O30" s="1">
        <v>25.5</v>
      </c>
      <c r="T30" s="2" t="s">
        <v>81</v>
      </c>
      <c r="U30" s="8" t="s">
        <v>93</v>
      </c>
    </row>
    <row r="31" spans="1:21" x14ac:dyDescent="0.25">
      <c r="A31" s="6">
        <v>46247</v>
      </c>
      <c r="B31" s="7" t="s">
        <v>891</v>
      </c>
      <c r="C31" s="7" t="s">
        <v>385</v>
      </c>
      <c r="D31" s="7" t="s">
        <v>45</v>
      </c>
      <c r="F31" s="2" t="s">
        <v>0</v>
      </c>
      <c r="G31" s="4">
        <v>46214</v>
      </c>
      <c r="H31" s="2" t="s">
        <v>2</v>
      </c>
      <c r="I31" s="1" t="s">
        <v>47</v>
      </c>
      <c r="J31" s="2" t="s">
        <v>11</v>
      </c>
      <c r="K31" s="1" t="s">
        <v>53</v>
      </c>
      <c r="M31" s="11" t="s">
        <v>311</v>
      </c>
      <c r="N31" s="1">
        <v>48.5</v>
      </c>
      <c r="O31" s="1">
        <v>50.4</v>
      </c>
      <c r="T31" s="2" t="s">
        <v>82</v>
      </c>
      <c r="U31" s="8">
        <f>U32+U33</f>
        <v>0.2099</v>
      </c>
    </row>
    <row r="32" spans="1:21" x14ac:dyDescent="0.25">
      <c r="A32" s="6">
        <v>46251</v>
      </c>
      <c r="B32" s="7" t="s">
        <v>891</v>
      </c>
      <c r="C32" s="7" t="s">
        <v>47</v>
      </c>
      <c r="D32" s="7" t="s">
        <v>416</v>
      </c>
      <c r="F32" s="32" t="s">
        <v>496</v>
      </c>
      <c r="G32" s="32"/>
      <c r="H32" s="32"/>
      <c r="I32" s="32"/>
      <c r="J32" s="32"/>
      <c r="K32" s="32"/>
      <c r="M32" s="16" t="s">
        <v>0</v>
      </c>
      <c r="N32" s="1">
        <v>2023</v>
      </c>
      <c r="O32" s="22" t="s">
        <v>6</v>
      </c>
      <c r="P32" s="8" t="s">
        <v>282</v>
      </c>
      <c r="Q32" s="11" t="s">
        <v>11</v>
      </c>
      <c r="R32" s="8" t="s">
        <v>163</v>
      </c>
      <c r="T32" s="2" t="s">
        <v>83</v>
      </c>
      <c r="U32" s="8">
        <v>0.2099</v>
      </c>
    </row>
    <row r="33" spans="1:21" x14ac:dyDescent="0.25">
      <c r="A33" s="6">
        <v>46251</v>
      </c>
      <c r="B33" s="7" t="s">
        <v>8</v>
      </c>
      <c r="C33" s="7" t="s">
        <v>16</v>
      </c>
      <c r="D33" s="7" t="s">
        <v>913</v>
      </c>
      <c r="F33" s="32"/>
      <c r="G33" s="32"/>
      <c r="H33" s="32"/>
      <c r="I33" s="32"/>
      <c r="J33" s="32"/>
      <c r="K33" s="32"/>
      <c r="M33" s="15" t="s">
        <v>283</v>
      </c>
      <c r="N33" s="3" t="s">
        <v>312</v>
      </c>
      <c r="O33" s="3" t="s">
        <v>313</v>
      </c>
      <c r="T33" s="2" t="s">
        <v>84</v>
      </c>
      <c r="U33" s="8">
        <v>0</v>
      </c>
    </row>
    <row r="34" spans="1:21" x14ac:dyDescent="0.25">
      <c r="A34" s="6">
        <v>46255</v>
      </c>
      <c r="B34" s="7" t="s">
        <v>30</v>
      </c>
      <c r="C34" s="7" t="s">
        <v>31</v>
      </c>
      <c r="D34" s="7" t="s">
        <v>983</v>
      </c>
      <c r="F34" s="2" t="s">
        <v>0</v>
      </c>
      <c r="G34" s="4">
        <v>46214</v>
      </c>
      <c r="H34" s="2" t="s">
        <v>2</v>
      </c>
      <c r="I34" s="1" t="s">
        <v>47</v>
      </c>
      <c r="J34" s="2" t="s">
        <v>11</v>
      </c>
      <c r="K34" s="1" t="s">
        <v>497</v>
      </c>
      <c r="M34" s="15" t="s">
        <v>284</v>
      </c>
      <c r="N34" s="12" t="s">
        <v>314</v>
      </c>
      <c r="O34" s="12" t="s">
        <v>314</v>
      </c>
      <c r="T34" s="2" t="s">
        <v>115</v>
      </c>
      <c r="U34" s="8"/>
    </row>
    <row r="35" spans="1:21" x14ac:dyDescent="0.25">
      <c r="A35" s="6">
        <v>46259</v>
      </c>
      <c r="B35" s="7" t="s">
        <v>30</v>
      </c>
      <c r="C35" s="7" t="s">
        <v>31</v>
      </c>
      <c r="D35" s="7" t="s">
        <v>985</v>
      </c>
      <c r="F35" s="32" t="s">
        <v>498</v>
      </c>
      <c r="G35" s="32"/>
      <c r="H35" s="32"/>
      <c r="I35" s="32"/>
      <c r="J35" s="32"/>
      <c r="K35" s="32"/>
      <c r="M35" s="11" t="s">
        <v>285</v>
      </c>
      <c r="N35" s="13">
        <v>1.01</v>
      </c>
      <c r="O35" s="13">
        <v>1</v>
      </c>
      <c r="T35" s="2" t="s">
        <v>11</v>
      </c>
      <c r="U35" s="8" t="s">
        <v>163</v>
      </c>
    </row>
    <row r="36" spans="1:21" x14ac:dyDescent="0.25">
      <c r="A36" s="6">
        <v>46266</v>
      </c>
      <c r="B36" s="7" t="s">
        <v>1031</v>
      </c>
      <c r="C36" s="7" t="s">
        <v>1033</v>
      </c>
      <c r="D36" s="7" t="s">
        <v>1034</v>
      </c>
      <c r="F36" s="32"/>
      <c r="G36" s="32"/>
      <c r="H36" s="32"/>
      <c r="I36" s="32"/>
      <c r="J36" s="32"/>
      <c r="K36" s="32"/>
      <c r="M36" s="11" t="s">
        <v>286</v>
      </c>
      <c r="N36" s="14">
        <v>8</v>
      </c>
      <c r="O36" s="14">
        <v>8.1</v>
      </c>
      <c r="T36" s="2" t="s">
        <v>76</v>
      </c>
      <c r="U36" s="8" t="s">
        <v>164</v>
      </c>
    </row>
    <row r="37" spans="1:21" x14ac:dyDescent="0.25">
      <c r="A37" s="6">
        <v>46266</v>
      </c>
      <c r="B37" s="7" t="s">
        <v>1032</v>
      </c>
      <c r="C37" s="7" t="s">
        <v>31</v>
      </c>
      <c r="D37" s="7" t="s">
        <v>1035</v>
      </c>
      <c r="F37" s="2" t="s">
        <v>0</v>
      </c>
      <c r="G37" s="4">
        <v>46218</v>
      </c>
      <c r="H37" s="2" t="s">
        <v>2</v>
      </c>
      <c r="I37" s="1" t="s">
        <v>350</v>
      </c>
      <c r="J37" s="2" t="s">
        <v>11</v>
      </c>
      <c r="K37" s="1" t="s">
        <v>534</v>
      </c>
      <c r="M37" s="11" t="s">
        <v>287</v>
      </c>
      <c r="N37" s="1">
        <v>0.22</v>
      </c>
      <c r="O37" s="1">
        <v>0.28000000000000003</v>
      </c>
      <c r="T37" s="2" t="s">
        <v>77</v>
      </c>
      <c r="U37" s="8"/>
    </row>
    <row r="38" spans="1:21" ht="14.45" customHeight="1" x14ac:dyDescent="0.25">
      <c r="A38" s="6">
        <v>46266</v>
      </c>
      <c r="B38" s="7" t="s">
        <v>1043</v>
      </c>
      <c r="C38" s="7" t="s">
        <v>47</v>
      </c>
      <c r="D38" s="7" t="s">
        <v>1053</v>
      </c>
      <c r="F38" s="32" t="s">
        <v>535</v>
      </c>
      <c r="G38" s="32"/>
      <c r="H38" s="32"/>
      <c r="I38" s="32"/>
      <c r="J38" s="32"/>
      <c r="K38" s="32"/>
      <c r="M38" s="11" t="s">
        <v>288</v>
      </c>
      <c r="N38" s="1">
        <v>1.21</v>
      </c>
      <c r="O38" s="1">
        <v>1.88</v>
      </c>
      <c r="T38" s="2" t="s">
        <v>78</v>
      </c>
      <c r="U38" s="8" t="s">
        <v>101</v>
      </c>
    </row>
    <row r="39" spans="1:21" x14ac:dyDescent="0.25">
      <c r="A39" s="6">
        <v>46267</v>
      </c>
      <c r="B39" s="7" t="s">
        <v>1076</v>
      </c>
      <c r="C39" s="7" t="s">
        <v>31</v>
      </c>
      <c r="D39" s="7" t="s">
        <v>1084</v>
      </c>
      <c r="F39" s="32"/>
      <c r="G39" s="32"/>
      <c r="H39" s="32"/>
      <c r="I39" s="32"/>
      <c r="J39" s="32"/>
      <c r="K39" s="32"/>
      <c r="M39" s="11" t="s">
        <v>289</v>
      </c>
      <c r="N39" s="13">
        <v>2.09</v>
      </c>
      <c r="O39" s="13">
        <v>3.24</v>
      </c>
      <c r="T39" s="2" t="s">
        <v>92</v>
      </c>
      <c r="U39" s="7" t="s">
        <v>165</v>
      </c>
    </row>
    <row r="40" spans="1:21" x14ac:dyDescent="0.25">
      <c r="A40" s="6">
        <v>46270</v>
      </c>
      <c r="B40" s="7" t="s">
        <v>1082</v>
      </c>
      <c r="C40" s="7" t="s">
        <v>385</v>
      </c>
      <c r="D40" s="7" t="s">
        <v>45</v>
      </c>
      <c r="F40" s="32"/>
      <c r="G40" s="32"/>
      <c r="H40" s="32"/>
      <c r="I40" s="32"/>
      <c r="J40" s="32"/>
      <c r="K40" s="32"/>
      <c r="M40" s="11" t="s">
        <v>290</v>
      </c>
      <c r="N40" s="13">
        <v>29.23</v>
      </c>
      <c r="O40" s="13">
        <v>26.74</v>
      </c>
      <c r="T40" s="2" t="s">
        <v>80</v>
      </c>
      <c r="U40" s="8" t="s">
        <v>171</v>
      </c>
    </row>
    <row r="41" spans="1:21" x14ac:dyDescent="0.25">
      <c r="A41" s="6">
        <v>46272</v>
      </c>
      <c r="B41" s="7" t="s">
        <v>1099</v>
      </c>
      <c r="C41" s="7" t="s">
        <v>350</v>
      </c>
      <c r="D41" s="7" t="s">
        <v>1100</v>
      </c>
      <c r="F41" s="32"/>
      <c r="G41" s="32"/>
      <c r="H41" s="32"/>
      <c r="I41" s="32"/>
      <c r="J41" s="32"/>
      <c r="K41" s="32"/>
      <c r="M41" s="11" t="s">
        <v>291</v>
      </c>
      <c r="N41" s="1">
        <v>6</v>
      </c>
      <c r="O41" s="1">
        <v>6</v>
      </c>
      <c r="T41" s="2" t="s">
        <v>81</v>
      </c>
      <c r="U41" s="8"/>
    </row>
    <row r="42" spans="1:21" x14ac:dyDescent="0.25">
      <c r="A42" s="6">
        <v>46274</v>
      </c>
      <c r="B42" s="7" t="s">
        <v>1115</v>
      </c>
      <c r="C42" s="7" t="s">
        <v>47</v>
      </c>
      <c r="D42" s="7" t="s">
        <v>1117</v>
      </c>
      <c r="F42" s="32"/>
      <c r="G42" s="32"/>
      <c r="H42" s="32"/>
      <c r="I42" s="32"/>
      <c r="J42" s="32"/>
      <c r="K42" s="32"/>
      <c r="M42" s="11" t="s">
        <v>292</v>
      </c>
      <c r="N42" s="13">
        <v>0.17</v>
      </c>
      <c r="O42" s="13">
        <v>0.2</v>
      </c>
      <c r="T42" s="2" t="s">
        <v>82</v>
      </c>
      <c r="U42" s="8">
        <f>U43+U44</f>
        <v>0.85760000000000003</v>
      </c>
    </row>
    <row r="43" spans="1:21" x14ac:dyDescent="0.25">
      <c r="A43" s="6">
        <v>46274</v>
      </c>
      <c r="B43" s="7" t="s">
        <v>1116</v>
      </c>
      <c r="C43" s="7" t="s">
        <v>47</v>
      </c>
      <c r="D43" s="7" t="s">
        <v>169</v>
      </c>
      <c r="F43" s="32"/>
      <c r="G43" s="32"/>
      <c r="H43" s="32"/>
      <c r="I43" s="32"/>
      <c r="J43" s="32"/>
      <c r="K43" s="32"/>
      <c r="M43" s="11" t="s">
        <v>293</v>
      </c>
      <c r="N43" s="14">
        <v>30</v>
      </c>
      <c r="O43" s="14">
        <v>15</v>
      </c>
      <c r="T43" s="2" t="s">
        <v>83</v>
      </c>
      <c r="U43" s="8">
        <v>0.85440000000000005</v>
      </c>
    </row>
    <row r="44" spans="1:21" x14ac:dyDescent="0.25">
      <c r="A44" s="6">
        <v>46276</v>
      </c>
      <c r="B44" s="7" t="s">
        <v>1130</v>
      </c>
      <c r="C44" s="7" t="s">
        <v>22</v>
      </c>
      <c r="D44" s="7" t="s">
        <v>1131</v>
      </c>
      <c r="F44" s="32"/>
      <c r="G44" s="32"/>
      <c r="H44" s="32"/>
      <c r="I44" s="32"/>
      <c r="J44" s="32"/>
      <c r="K44" s="32"/>
      <c r="M44" s="11" t="s">
        <v>294</v>
      </c>
      <c r="N44" s="1">
        <v>48</v>
      </c>
      <c r="O44" s="1">
        <v>13.7</v>
      </c>
      <c r="T44" s="2" t="s">
        <v>84</v>
      </c>
      <c r="U44" s="8">
        <v>3.2000000000000002E-3</v>
      </c>
    </row>
    <row r="45" spans="1:21" x14ac:dyDescent="0.25">
      <c r="A45" s="6">
        <v>46276</v>
      </c>
      <c r="B45" s="7" t="s">
        <v>1031</v>
      </c>
      <c r="C45" s="7" t="s">
        <v>15</v>
      </c>
      <c r="D45" s="7" t="s">
        <v>1140</v>
      </c>
      <c r="F45" s="32"/>
      <c r="G45" s="32"/>
      <c r="H45" s="32"/>
      <c r="I45" s="32"/>
      <c r="J45" s="32"/>
      <c r="K45" s="32"/>
      <c r="M45" s="11" t="s">
        <v>295</v>
      </c>
      <c r="N45" s="1">
        <v>259</v>
      </c>
      <c r="O45" s="1">
        <v>514</v>
      </c>
      <c r="T45" s="2" t="s">
        <v>115</v>
      </c>
      <c r="U45" s="8"/>
    </row>
    <row r="46" spans="1:21" x14ac:dyDescent="0.25">
      <c r="A46" s="6">
        <v>46280</v>
      </c>
      <c r="B46" s="7" t="s">
        <v>874</v>
      </c>
      <c r="C46" s="7" t="s">
        <v>22</v>
      </c>
      <c r="D46" s="7" t="s">
        <v>1166</v>
      </c>
      <c r="F46" s="2" t="s">
        <v>0</v>
      </c>
      <c r="G46" s="4">
        <v>46219</v>
      </c>
      <c r="H46" s="2" t="s">
        <v>2</v>
      </c>
      <c r="I46" s="1" t="s">
        <v>47</v>
      </c>
      <c r="J46" s="2" t="s">
        <v>11</v>
      </c>
      <c r="K46" s="1" t="s">
        <v>14</v>
      </c>
      <c r="M46" s="11" t="s">
        <v>296</v>
      </c>
      <c r="N46" s="1">
        <v>5780</v>
      </c>
      <c r="O46" s="1">
        <v>6381</v>
      </c>
      <c r="T46" s="2" t="s">
        <v>11</v>
      </c>
      <c r="U46" s="8" t="s">
        <v>167</v>
      </c>
    </row>
    <row r="47" spans="1:21" x14ac:dyDescent="0.25">
      <c r="A47" s="6">
        <v>46282</v>
      </c>
      <c r="B47" s="7" t="s">
        <v>1191</v>
      </c>
      <c r="C47" s="7" t="s">
        <v>15</v>
      </c>
      <c r="D47" s="7" t="s">
        <v>53</v>
      </c>
      <c r="F47" s="32" t="s">
        <v>551</v>
      </c>
      <c r="G47" s="32"/>
      <c r="H47" s="32"/>
      <c r="I47" s="32"/>
      <c r="J47" s="32"/>
      <c r="K47" s="32"/>
      <c r="M47" s="11" t="s">
        <v>297</v>
      </c>
      <c r="N47" s="1">
        <v>185</v>
      </c>
      <c r="O47" s="1">
        <v>243</v>
      </c>
      <c r="T47" s="2" t="s">
        <v>76</v>
      </c>
      <c r="U47" s="8" t="s">
        <v>168</v>
      </c>
    </row>
    <row r="48" spans="1:21" x14ac:dyDescent="0.25">
      <c r="A48" s="6">
        <v>46283</v>
      </c>
      <c r="B48" s="7" t="s">
        <v>1031</v>
      </c>
      <c r="C48" s="7" t="s">
        <v>22</v>
      </c>
      <c r="D48" s="7" t="s">
        <v>1197</v>
      </c>
      <c r="F48" s="32"/>
      <c r="G48" s="32"/>
      <c r="H48" s="32"/>
      <c r="I48" s="32"/>
      <c r="J48" s="32"/>
      <c r="K48" s="32"/>
      <c r="M48" s="11" t="s">
        <v>298</v>
      </c>
      <c r="N48" s="1">
        <v>18</v>
      </c>
      <c r="O48" s="1">
        <v>39</v>
      </c>
      <c r="T48" s="2" t="s">
        <v>77</v>
      </c>
      <c r="U48" s="8"/>
    </row>
    <row r="49" spans="1:21" x14ac:dyDescent="0.25">
      <c r="A49" s="6">
        <v>46283</v>
      </c>
      <c r="B49" s="7" t="s">
        <v>343</v>
      </c>
      <c r="C49" s="7" t="s">
        <v>344</v>
      </c>
      <c r="D49" s="7" t="s">
        <v>1215</v>
      </c>
      <c r="F49" s="2" t="s">
        <v>0</v>
      </c>
      <c r="G49" s="4">
        <v>46226</v>
      </c>
      <c r="H49" s="2" t="s">
        <v>2</v>
      </c>
      <c r="I49" s="1" t="s">
        <v>22</v>
      </c>
      <c r="J49" s="2" t="s">
        <v>11</v>
      </c>
      <c r="K49" s="1" t="s">
        <v>14</v>
      </c>
      <c r="M49" s="11" t="s">
        <v>299</v>
      </c>
      <c r="N49" s="1">
        <v>0.57999999999999996</v>
      </c>
      <c r="O49" s="1">
        <v>2.25</v>
      </c>
      <c r="T49" s="2" t="s">
        <v>78</v>
      </c>
      <c r="U49" s="8" t="s">
        <v>101</v>
      </c>
    </row>
    <row r="50" spans="1:21" ht="14.45" customHeight="1" x14ac:dyDescent="0.25">
      <c r="A50" s="6">
        <v>46286</v>
      </c>
      <c r="B50" s="7" t="s">
        <v>1031</v>
      </c>
      <c r="C50" s="7" t="s">
        <v>22</v>
      </c>
      <c r="D50" s="7" t="s">
        <v>1226</v>
      </c>
      <c r="F50" s="32" t="s">
        <v>620</v>
      </c>
      <c r="G50" s="32"/>
      <c r="H50" s="32"/>
      <c r="I50" s="32"/>
      <c r="J50" s="32"/>
      <c r="K50" s="32"/>
      <c r="M50" s="11" t="s">
        <v>300</v>
      </c>
      <c r="N50" s="1">
        <v>237</v>
      </c>
      <c r="O50" s="1">
        <v>197</v>
      </c>
      <c r="T50" s="2" t="s">
        <v>92</v>
      </c>
      <c r="U50" s="7" t="s">
        <v>165</v>
      </c>
    </row>
    <row r="51" spans="1:21" x14ac:dyDescent="0.25">
      <c r="A51" s="6">
        <v>46288</v>
      </c>
      <c r="B51" s="7" t="s">
        <v>1250</v>
      </c>
      <c r="C51" s="7" t="s">
        <v>588</v>
      </c>
      <c r="D51" s="7" t="s">
        <v>1253</v>
      </c>
      <c r="F51" s="32"/>
      <c r="G51" s="32"/>
      <c r="H51" s="32"/>
      <c r="I51" s="32"/>
      <c r="J51" s="32"/>
      <c r="K51" s="32"/>
      <c r="M51" s="11" t="s">
        <v>301</v>
      </c>
      <c r="N51" s="1">
        <v>11.6</v>
      </c>
      <c r="O51" s="1">
        <v>9.6999999999999993</v>
      </c>
      <c r="T51" s="2" t="s">
        <v>80</v>
      </c>
      <c r="U51" s="8" t="s">
        <v>166</v>
      </c>
    </row>
    <row r="52" spans="1:21" x14ac:dyDescent="0.25">
      <c r="A52" s="6">
        <v>46289</v>
      </c>
      <c r="B52" s="7" t="s">
        <v>919</v>
      </c>
      <c r="C52" s="7" t="s">
        <v>920</v>
      </c>
      <c r="D52" s="7" t="s">
        <v>163</v>
      </c>
      <c r="F52" s="32"/>
      <c r="G52" s="32"/>
      <c r="H52" s="32"/>
      <c r="I52" s="32"/>
      <c r="J52" s="32"/>
      <c r="K52" s="32"/>
      <c r="M52" s="11" t="s">
        <v>302</v>
      </c>
      <c r="N52" s="1">
        <v>117</v>
      </c>
      <c r="O52" s="1">
        <v>125</v>
      </c>
      <c r="T52" s="2" t="s">
        <v>81</v>
      </c>
      <c r="U52" s="8"/>
    </row>
    <row r="53" spans="1:21" x14ac:dyDescent="0.25">
      <c r="A53" s="6">
        <v>46289</v>
      </c>
      <c r="B53" s="7" t="s">
        <v>1260</v>
      </c>
      <c r="C53" s="7" t="s">
        <v>22</v>
      </c>
      <c r="D53" s="7" t="s">
        <v>163</v>
      </c>
      <c r="F53" s="32"/>
      <c r="G53" s="32"/>
      <c r="H53" s="32"/>
      <c r="I53" s="32"/>
      <c r="J53" s="32"/>
      <c r="K53" s="32"/>
      <c r="M53" s="11" t="s">
        <v>303</v>
      </c>
      <c r="N53" s="1">
        <v>47</v>
      </c>
      <c r="O53" s="1">
        <v>15</v>
      </c>
      <c r="T53" s="2" t="s">
        <v>82</v>
      </c>
      <c r="U53" s="8">
        <f>U54+U55</f>
        <v>0.29480000000000001</v>
      </c>
    </row>
    <row r="54" spans="1:21" x14ac:dyDescent="0.25">
      <c r="A54" s="6">
        <v>46289</v>
      </c>
      <c r="B54" s="7" t="s">
        <v>1259</v>
      </c>
      <c r="C54" s="7" t="s">
        <v>22</v>
      </c>
      <c r="D54" s="7" t="s">
        <v>169</v>
      </c>
      <c r="F54" s="32"/>
      <c r="G54" s="32"/>
      <c r="H54" s="32"/>
      <c r="I54" s="32"/>
      <c r="J54" s="32"/>
      <c r="K54" s="32"/>
      <c r="M54" s="11" t="s">
        <v>304</v>
      </c>
      <c r="N54" s="13">
        <v>0.1</v>
      </c>
      <c r="O54" s="13">
        <v>0.11</v>
      </c>
      <c r="T54" s="2" t="s">
        <v>83</v>
      </c>
      <c r="U54" s="8">
        <v>0.29480000000000001</v>
      </c>
    </row>
    <row r="55" spans="1:21" x14ac:dyDescent="0.25">
      <c r="A55" s="6">
        <v>46289</v>
      </c>
      <c r="B55" s="7" t="s">
        <v>1263</v>
      </c>
      <c r="C55" s="7" t="s">
        <v>47</v>
      </c>
      <c r="D55" s="7" t="s">
        <v>163</v>
      </c>
      <c r="F55" s="32"/>
      <c r="G55" s="32"/>
      <c r="H55" s="32"/>
      <c r="I55" s="32"/>
      <c r="J55" s="32"/>
      <c r="K55" s="32"/>
      <c r="M55" s="11" t="s">
        <v>305</v>
      </c>
      <c r="N55" s="1">
        <v>7.07</v>
      </c>
      <c r="O55" s="1">
        <v>9.33</v>
      </c>
      <c r="T55" s="2" t="s">
        <v>84</v>
      </c>
      <c r="U55" s="10">
        <v>0</v>
      </c>
    </row>
    <row r="56" spans="1:21" x14ac:dyDescent="0.25">
      <c r="F56" s="32"/>
      <c r="G56" s="32"/>
      <c r="H56" s="32"/>
      <c r="I56" s="32"/>
      <c r="J56" s="32"/>
      <c r="K56" s="32"/>
      <c r="M56" s="11" t="s">
        <v>306</v>
      </c>
      <c r="N56" s="14">
        <v>31.2</v>
      </c>
      <c r="O56" s="14">
        <v>26.2</v>
      </c>
      <c r="T56" s="2" t="s">
        <v>115</v>
      </c>
      <c r="U56" s="8"/>
    </row>
    <row r="57" spans="1:21" x14ac:dyDescent="0.25">
      <c r="F57" s="32"/>
      <c r="G57" s="32"/>
      <c r="H57" s="32"/>
      <c r="I57" s="32"/>
      <c r="J57" s="32"/>
      <c r="K57" s="32"/>
      <c r="M57" s="11" t="s">
        <v>307</v>
      </c>
      <c r="N57" s="1">
        <v>0.7</v>
      </c>
      <c r="O57" s="1">
        <v>0.5</v>
      </c>
      <c r="T57" s="2" t="s">
        <v>11</v>
      </c>
      <c r="U57" s="8" t="s">
        <v>169</v>
      </c>
    </row>
    <row r="58" spans="1:21" x14ac:dyDescent="0.25">
      <c r="F58" s="32"/>
      <c r="G58" s="32"/>
      <c r="H58" s="32"/>
      <c r="I58" s="32"/>
      <c r="J58" s="32"/>
      <c r="K58" s="32"/>
      <c r="M58" s="11" t="s">
        <v>308</v>
      </c>
      <c r="N58" s="1">
        <v>22.3</v>
      </c>
      <c r="O58" s="1">
        <v>12.4</v>
      </c>
      <c r="T58" s="2" t="s">
        <v>76</v>
      </c>
      <c r="U58" s="8" t="s">
        <v>170</v>
      </c>
    </row>
    <row r="59" spans="1:21" x14ac:dyDescent="0.25">
      <c r="F59" s="32"/>
      <c r="G59" s="32"/>
      <c r="H59" s="32"/>
      <c r="I59" s="32"/>
      <c r="J59" s="32"/>
      <c r="K59" s="32"/>
      <c r="M59" s="11" t="s">
        <v>309</v>
      </c>
      <c r="N59" s="1">
        <v>22.6</v>
      </c>
      <c r="O59" s="1">
        <v>22.5</v>
      </c>
      <c r="T59" s="2" t="s">
        <v>77</v>
      </c>
      <c r="U59" s="8"/>
    </row>
    <row r="60" spans="1:21" x14ac:dyDescent="0.25">
      <c r="F60" s="2" t="s">
        <v>0</v>
      </c>
      <c r="G60" s="4">
        <v>46227</v>
      </c>
      <c r="H60" s="2" t="s">
        <v>2</v>
      </c>
      <c r="I60" s="1" t="s">
        <v>350</v>
      </c>
      <c r="J60" s="2" t="s">
        <v>11</v>
      </c>
      <c r="K60" s="1" t="s">
        <v>53</v>
      </c>
      <c r="M60" s="11" t="s">
        <v>310</v>
      </c>
      <c r="N60" s="1">
        <v>29.3</v>
      </c>
      <c r="O60" s="1">
        <v>37.299999999999997</v>
      </c>
      <c r="T60" s="2" t="s">
        <v>78</v>
      </c>
      <c r="U60" s="8" t="s">
        <v>101</v>
      </c>
    </row>
    <row r="61" spans="1:21" ht="14.45" customHeight="1" x14ac:dyDescent="0.25">
      <c r="F61" s="32" t="s">
        <v>631</v>
      </c>
      <c r="G61" s="32"/>
      <c r="H61" s="32"/>
      <c r="I61" s="32"/>
      <c r="J61" s="32"/>
      <c r="K61" s="32"/>
      <c r="M61" s="11" t="s">
        <v>311</v>
      </c>
      <c r="N61" s="1">
        <v>48.2</v>
      </c>
      <c r="O61" s="1">
        <v>40.200000000000003</v>
      </c>
      <c r="T61" s="2" t="s">
        <v>92</v>
      </c>
      <c r="U61" s="8" t="s">
        <v>172</v>
      </c>
    </row>
    <row r="62" spans="1:21" x14ac:dyDescent="0.25">
      <c r="F62" s="32"/>
      <c r="G62" s="32"/>
      <c r="H62" s="32"/>
      <c r="I62" s="32"/>
      <c r="J62" s="32"/>
      <c r="K62" s="32"/>
      <c r="M62" s="16" t="s">
        <v>0</v>
      </c>
      <c r="N62" s="1">
        <v>2024</v>
      </c>
      <c r="O62" s="22" t="s">
        <v>6</v>
      </c>
      <c r="P62" s="8" t="s">
        <v>282</v>
      </c>
      <c r="Q62" s="11" t="s">
        <v>11</v>
      </c>
      <c r="R62" s="8" t="s">
        <v>163</v>
      </c>
      <c r="T62" s="2" t="s">
        <v>80</v>
      </c>
      <c r="U62" s="8" t="s">
        <v>173</v>
      </c>
    </row>
    <row r="63" spans="1:21" x14ac:dyDescent="0.25">
      <c r="F63" s="32"/>
      <c r="G63" s="32"/>
      <c r="H63" s="32"/>
      <c r="I63" s="32"/>
      <c r="J63" s="32"/>
      <c r="K63" s="32"/>
      <c r="M63" s="15" t="s">
        <v>283</v>
      </c>
      <c r="N63" s="3" t="s">
        <v>312</v>
      </c>
      <c r="O63" s="3" t="s">
        <v>313</v>
      </c>
      <c r="T63" s="2" t="s">
        <v>81</v>
      </c>
      <c r="U63" s="8"/>
    </row>
    <row r="64" spans="1:21" x14ac:dyDescent="0.25">
      <c r="F64" s="32"/>
      <c r="G64" s="32"/>
      <c r="H64" s="32"/>
      <c r="I64" s="32"/>
      <c r="J64" s="32"/>
      <c r="K64" s="32"/>
      <c r="M64" s="15" t="s">
        <v>284</v>
      </c>
      <c r="N64" s="12" t="s">
        <v>314</v>
      </c>
      <c r="O64" s="12" t="s">
        <v>314</v>
      </c>
      <c r="T64" s="2" t="s">
        <v>82</v>
      </c>
      <c r="U64" s="8">
        <f>U65+U66</f>
        <v>0.13949999999999999</v>
      </c>
    </row>
    <row r="65" spans="6:21" x14ac:dyDescent="0.25">
      <c r="F65" s="2" t="s">
        <v>0</v>
      </c>
      <c r="G65" s="4">
        <v>46229</v>
      </c>
      <c r="H65" s="2" t="s">
        <v>2</v>
      </c>
      <c r="I65" s="1" t="s">
        <v>22</v>
      </c>
      <c r="J65" s="2" t="s">
        <v>11</v>
      </c>
      <c r="K65" s="1" t="s">
        <v>53</v>
      </c>
      <c r="M65" s="11" t="s">
        <v>285</v>
      </c>
      <c r="N65" s="13">
        <v>1</v>
      </c>
      <c r="O65" s="13">
        <v>1</v>
      </c>
      <c r="T65" s="2" t="s">
        <v>83</v>
      </c>
      <c r="U65" s="8">
        <v>0.1273</v>
      </c>
    </row>
    <row r="66" spans="6:21" ht="14.45" customHeight="1" x14ac:dyDescent="0.25">
      <c r="F66" s="32" t="s">
        <v>652</v>
      </c>
      <c r="G66" s="32"/>
      <c r="H66" s="32"/>
      <c r="I66" s="32"/>
      <c r="J66" s="32"/>
      <c r="K66" s="32"/>
      <c r="M66" s="11" t="s">
        <v>286</v>
      </c>
      <c r="N66" s="14">
        <v>8</v>
      </c>
      <c r="O66" s="14">
        <v>8.1</v>
      </c>
      <c r="T66" s="2" t="s">
        <v>84</v>
      </c>
      <c r="U66" s="10">
        <v>1.2200000000000001E-2</v>
      </c>
    </row>
    <row r="67" spans="6:21" x14ac:dyDescent="0.25">
      <c r="F67" s="32"/>
      <c r="G67" s="32"/>
      <c r="H67" s="32"/>
      <c r="I67" s="32"/>
      <c r="J67" s="32"/>
      <c r="K67" s="32"/>
      <c r="M67" s="11" t="s">
        <v>287</v>
      </c>
      <c r="N67" s="1">
        <v>0.47</v>
      </c>
      <c r="O67" s="1">
        <v>0.2</v>
      </c>
      <c r="T67" s="2" t="s">
        <v>115</v>
      </c>
      <c r="U67" s="8"/>
    </row>
    <row r="68" spans="6:21" x14ac:dyDescent="0.25">
      <c r="F68" s="32"/>
      <c r="G68" s="32"/>
      <c r="H68" s="32"/>
      <c r="I68" s="32"/>
      <c r="J68" s="32"/>
      <c r="K68" s="32"/>
      <c r="M68" s="11" t="s">
        <v>288</v>
      </c>
      <c r="N68" s="1">
        <v>1.1000000000000001</v>
      </c>
      <c r="O68" s="1">
        <v>1.1599999999999999</v>
      </c>
      <c r="T68" s="2" t="s">
        <v>85</v>
      </c>
      <c r="U68" s="8">
        <f>U65+U54+U43+U32+U21+U10</f>
        <v>2.1766000000000001</v>
      </c>
    </row>
    <row r="69" spans="6:21" x14ac:dyDescent="0.25">
      <c r="F69" s="32"/>
      <c r="G69" s="32"/>
      <c r="H69" s="32"/>
      <c r="I69" s="32"/>
      <c r="J69" s="32"/>
      <c r="K69" s="32"/>
      <c r="M69" s="11" t="s">
        <v>289</v>
      </c>
      <c r="N69" s="13">
        <v>1.9</v>
      </c>
      <c r="O69" s="13">
        <v>2</v>
      </c>
      <c r="T69" s="2" t="s">
        <v>86</v>
      </c>
      <c r="U69" s="10">
        <f>U68*12.032</f>
        <v>26.188851200000002</v>
      </c>
    </row>
    <row r="70" spans="6:21" x14ac:dyDescent="0.25">
      <c r="F70" s="32"/>
      <c r="G70" s="32"/>
      <c r="H70" s="32"/>
      <c r="I70" s="32"/>
      <c r="J70" s="32"/>
      <c r="K70" s="32"/>
      <c r="M70" s="11" t="s">
        <v>290</v>
      </c>
      <c r="N70" s="13">
        <v>29</v>
      </c>
      <c r="O70" s="13">
        <v>31</v>
      </c>
    </row>
    <row r="71" spans="6:21" x14ac:dyDescent="0.25">
      <c r="F71" s="2" t="s">
        <v>0</v>
      </c>
      <c r="G71" s="4">
        <v>46230</v>
      </c>
      <c r="H71" s="2" t="s">
        <v>2</v>
      </c>
      <c r="I71" s="1" t="s">
        <v>47</v>
      </c>
      <c r="J71" s="2" t="s">
        <v>11</v>
      </c>
      <c r="K71" s="1" t="s">
        <v>14</v>
      </c>
      <c r="M71" s="11" t="s">
        <v>291</v>
      </c>
      <c r="N71" s="1">
        <v>5</v>
      </c>
      <c r="O71" s="1">
        <v>5</v>
      </c>
    </row>
    <row r="72" spans="6:21" x14ac:dyDescent="0.25">
      <c r="F72" s="32" t="s">
        <v>637</v>
      </c>
      <c r="G72" s="32"/>
      <c r="H72" s="32"/>
      <c r="I72" s="32"/>
      <c r="J72" s="32"/>
      <c r="K72" s="32"/>
      <c r="M72" s="11" t="s">
        <v>292</v>
      </c>
      <c r="N72" s="13">
        <v>0.15</v>
      </c>
      <c r="O72" s="13">
        <v>0.13</v>
      </c>
    </row>
    <row r="73" spans="6:21" x14ac:dyDescent="0.25">
      <c r="F73" s="32"/>
      <c r="G73" s="32"/>
      <c r="H73" s="32"/>
      <c r="I73" s="32"/>
      <c r="J73" s="32"/>
      <c r="K73" s="32"/>
      <c r="M73" s="11" t="s">
        <v>293</v>
      </c>
      <c r="N73" s="14">
        <v>41</v>
      </c>
      <c r="O73" s="14">
        <v>41</v>
      </c>
    </row>
    <row r="74" spans="6:21" x14ac:dyDescent="0.25">
      <c r="F74" s="2" t="s">
        <v>0</v>
      </c>
      <c r="G74" s="4">
        <v>46233</v>
      </c>
      <c r="H74" s="2" t="s">
        <v>2</v>
      </c>
      <c r="I74" s="1" t="s">
        <v>16</v>
      </c>
      <c r="J74" s="2" t="s">
        <v>11</v>
      </c>
      <c r="K74" s="1" t="s">
        <v>534</v>
      </c>
      <c r="M74" s="11" t="s">
        <v>294</v>
      </c>
      <c r="N74" s="1">
        <v>32.1</v>
      </c>
      <c r="O74" s="1">
        <v>32.799999999999997</v>
      </c>
    </row>
    <row r="75" spans="6:21" x14ac:dyDescent="0.25">
      <c r="F75" s="32" t="s">
        <v>705</v>
      </c>
      <c r="G75" s="32"/>
      <c r="H75" s="32"/>
      <c r="I75" s="32"/>
      <c r="J75" s="32"/>
      <c r="K75" s="32"/>
      <c r="M75" s="11" t="s">
        <v>295</v>
      </c>
      <c r="N75" s="1">
        <v>274</v>
      </c>
      <c r="O75" s="1">
        <v>255</v>
      </c>
    </row>
    <row r="76" spans="6:21" x14ac:dyDescent="0.25">
      <c r="F76" s="32"/>
      <c r="G76" s="32"/>
      <c r="H76" s="32"/>
      <c r="I76" s="32"/>
      <c r="J76" s="32"/>
      <c r="K76" s="32"/>
      <c r="M76" s="11" t="s">
        <v>296</v>
      </c>
      <c r="N76" s="1">
        <v>5861</v>
      </c>
      <c r="O76" s="1">
        <v>5696</v>
      </c>
    </row>
    <row r="77" spans="6:21" x14ac:dyDescent="0.25">
      <c r="F77" s="2" t="s">
        <v>0</v>
      </c>
      <c r="G77" s="4">
        <v>46234</v>
      </c>
      <c r="H77" s="2" t="s">
        <v>2</v>
      </c>
      <c r="I77" s="1" t="s">
        <v>22</v>
      </c>
      <c r="J77" s="2" t="s">
        <v>11</v>
      </c>
      <c r="K77" s="1" t="s">
        <v>169</v>
      </c>
      <c r="M77" s="11" t="s">
        <v>297</v>
      </c>
      <c r="N77" s="1">
        <v>202</v>
      </c>
      <c r="O77" s="1">
        <v>156</v>
      </c>
    </row>
    <row r="78" spans="6:21" ht="14.45" customHeight="1" x14ac:dyDescent="0.25">
      <c r="F78" s="32" t="s">
        <v>721</v>
      </c>
      <c r="G78" s="32"/>
      <c r="H78" s="32"/>
      <c r="I78" s="32"/>
      <c r="J78" s="32"/>
      <c r="K78" s="32"/>
      <c r="M78" s="11" t="s">
        <v>298</v>
      </c>
      <c r="N78" s="1">
        <v>90</v>
      </c>
      <c r="O78" s="1">
        <v>39</v>
      </c>
    </row>
    <row r="79" spans="6:21" x14ac:dyDescent="0.25">
      <c r="F79" s="32"/>
      <c r="G79" s="32"/>
      <c r="H79" s="32"/>
      <c r="I79" s="32"/>
      <c r="J79" s="32"/>
      <c r="K79" s="32"/>
      <c r="M79" s="11" t="s">
        <v>299</v>
      </c>
      <c r="N79" s="7" t="s">
        <v>56</v>
      </c>
      <c r="O79" s="1">
        <v>1.45</v>
      </c>
    </row>
    <row r="80" spans="6:21" x14ac:dyDescent="0.25">
      <c r="F80" s="32"/>
      <c r="G80" s="32"/>
      <c r="H80" s="32"/>
      <c r="I80" s="32"/>
      <c r="J80" s="32"/>
      <c r="K80" s="32"/>
      <c r="M80" s="11" t="s">
        <v>300</v>
      </c>
      <c r="N80" s="7" t="s">
        <v>56</v>
      </c>
      <c r="O80" s="1">
        <v>206</v>
      </c>
    </row>
    <row r="81" spans="6:18" x14ac:dyDescent="0.25">
      <c r="F81" s="2" t="s">
        <v>0</v>
      </c>
      <c r="G81" s="4">
        <v>46235</v>
      </c>
      <c r="H81" s="2" t="s">
        <v>2</v>
      </c>
      <c r="I81" s="1" t="s">
        <v>47</v>
      </c>
      <c r="J81" s="2" t="s">
        <v>11</v>
      </c>
      <c r="K81" s="1" t="s">
        <v>14</v>
      </c>
      <c r="M81" s="11" t="s">
        <v>301</v>
      </c>
      <c r="N81" s="7" t="s">
        <v>56</v>
      </c>
      <c r="O81" s="1">
        <v>10.3</v>
      </c>
    </row>
    <row r="82" spans="6:18" ht="14.45" customHeight="1" x14ac:dyDescent="0.25">
      <c r="F82" s="32" t="s">
        <v>727</v>
      </c>
      <c r="G82" s="32"/>
      <c r="H82" s="32"/>
      <c r="I82" s="32"/>
      <c r="J82" s="32"/>
      <c r="K82" s="32"/>
      <c r="M82" s="11" t="s">
        <v>302</v>
      </c>
      <c r="N82" s="7" t="s">
        <v>56</v>
      </c>
      <c r="O82" s="1">
        <v>112</v>
      </c>
    </row>
    <row r="83" spans="6:18" x14ac:dyDescent="0.25">
      <c r="F83" s="32"/>
      <c r="G83" s="32"/>
      <c r="H83" s="32"/>
      <c r="I83" s="32"/>
      <c r="J83" s="32"/>
      <c r="K83" s="32"/>
      <c r="M83" s="11" t="s">
        <v>303</v>
      </c>
      <c r="N83" s="7" t="s">
        <v>56</v>
      </c>
      <c r="O83" s="1">
        <v>57</v>
      </c>
    </row>
    <row r="84" spans="6:18" x14ac:dyDescent="0.25">
      <c r="F84" s="32"/>
      <c r="G84" s="32"/>
      <c r="H84" s="32"/>
      <c r="I84" s="32"/>
      <c r="J84" s="32"/>
      <c r="K84" s="32"/>
      <c r="M84" s="11" t="s">
        <v>304</v>
      </c>
      <c r="N84" s="7" t="s">
        <v>56</v>
      </c>
      <c r="O84" s="13">
        <v>0.16</v>
      </c>
    </row>
    <row r="85" spans="6:18" x14ac:dyDescent="0.25">
      <c r="F85" s="32"/>
      <c r="G85" s="32"/>
      <c r="H85" s="32"/>
      <c r="I85" s="32"/>
      <c r="J85" s="32"/>
      <c r="K85" s="32"/>
      <c r="M85" s="11" t="s">
        <v>305</v>
      </c>
      <c r="N85" s="1">
        <v>7.24</v>
      </c>
      <c r="O85" s="1">
        <v>8.66</v>
      </c>
    </row>
    <row r="86" spans="6:18" x14ac:dyDescent="0.25">
      <c r="F86" s="32"/>
      <c r="G86" s="32"/>
      <c r="H86" s="32"/>
      <c r="I86" s="32"/>
      <c r="J86" s="32"/>
      <c r="K86" s="32"/>
      <c r="M86" s="11" t="s">
        <v>306</v>
      </c>
      <c r="N86" s="14">
        <v>29</v>
      </c>
      <c r="O86" s="14">
        <v>36.5</v>
      </c>
    </row>
    <row r="87" spans="6:18" x14ac:dyDescent="0.25">
      <c r="F87" s="2" t="s">
        <v>0</v>
      </c>
      <c r="G87" s="4">
        <v>46237</v>
      </c>
      <c r="H87" s="2" t="s">
        <v>2</v>
      </c>
      <c r="I87" s="1" t="s">
        <v>22</v>
      </c>
      <c r="J87" s="2" t="s">
        <v>11</v>
      </c>
      <c r="K87" s="1" t="s">
        <v>14</v>
      </c>
      <c r="M87" s="11" t="s">
        <v>307</v>
      </c>
      <c r="N87" s="1">
        <v>0.7</v>
      </c>
      <c r="O87" s="1">
        <v>0.6</v>
      </c>
    </row>
    <row r="88" spans="6:18" ht="14.45" customHeight="1" x14ac:dyDescent="0.25">
      <c r="F88" s="32" t="s">
        <v>745</v>
      </c>
      <c r="G88" s="32"/>
      <c r="H88" s="32"/>
      <c r="I88" s="32"/>
      <c r="J88" s="32"/>
      <c r="K88" s="32"/>
      <c r="M88" s="11" t="s">
        <v>308</v>
      </c>
      <c r="N88" s="1">
        <v>21.4</v>
      </c>
      <c r="O88" s="1">
        <v>22.4</v>
      </c>
    </row>
    <row r="89" spans="6:18" x14ac:dyDescent="0.25">
      <c r="F89" s="32"/>
      <c r="G89" s="32"/>
      <c r="H89" s="32"/>
      <c r="I89" s="32"/>
      <c r="J89" s="32"/>
      <c r="K89" s="32"/>
      <c r="M89" s="11" t="s">
        <v>309</v>
      </c>
      <c r="N89" s="7" t="s">
        <v>56</v>
      </c>
      <c r="O89" s="1">
        <v>18.600000000000001</v>
      </c>
    </row>
    <row r="90" spans="6:18" x14ac:dyDescent="0.25">
      <c r="F90" s="32"/>
      <c r="G90" s="32"/>
      <c r="H90" s="32"/>
      <c r="I90" s="32"/>
      <c r="J90" s="32"/>
      <c r="K90" s="32"/>
      <c r="M90" s="11" t="s">
        <v>310</v>
      </c>
      <c r="N90" s="7" t="s">
        <v>56</v>
      </c>
      <c r="O90" s="1">
        <v>23.4</v>
      </c>
    </row>
    <row r="91" spans="6:18" x14ac:dyDescent="0.25">
      <c r="F91" s="32"/>
      <c r="G91" s="32"/>
      <c r="H91" s="32"/>
      <c r="I91" s="32"/>
      <c r="J91" s="32"/>
      <c r="K91" s="32"/>
      <c r="M91" s="11" t="s">
        <v>311</v>
      </c>
      <c r="N91" s="7" t="s">
        <v>56</v>
      </c>
      <c r="O91" s="1">
        <v>58</v>
      </c>
    </row>
    <row r="92" spans="6:18" x14ac:dyDescent="0.25">
      <c r="F92" s="32"/>
      <c r="G92" s="32"/>
      <c r="H92" s="32"/>
      <c r="I92" s="32"/>
      <c r="J92" s="32"/>
      <c r="K92" s="32"/>
      <c r="M92" s="16" t="s">
        <v>0</v>
      </c>
      <c r="N92" s="1">
        <v>2025</v>
      </c>
      <c r="O92" s="22" t="s">
        <v>6</v>
      </c>
      <c r="P92" s="8" t="s">
        <v>282</v>
      </c>
      <c r="Q92" s="11" t="s">
        <v>11</v>
      </c>
      <c r="R92" s="8" t="s">
        <v>163</v>
      </c>
    </row>
    <row r="93" spans="6:18" x14ac:dyDescent="0.25">
      <c r="F93" s="2" t="s">
        <v>0</v>
      </c>
      <c r="G93" s="4">
        <v>46239</v>
      </c>
      <c r="H93" s="2" t="s">
        <v>2</v>
      </c>
      <c r="I93" s="1" t="s">
        <v>22</v>
      </c>
      <c r="J93" s="2" t="s">
        <v>11</v>
      </c>
      <c r="K93" s="1" t="s">
        <v>14</v>
      </c>
      <c r="M93" s="15" t="s">
        <v>283</v>
      </c>
      <c r="N93" s="3" t="s">
        <v>312</v>
      </c>
      <c r="O93" s="3" t="s">
        <v>313</v>
      </c>
    </row>
    <row r="94" spans="6:18" ht="14.45" customHeight="1" x14ac:dyDescent="0.25">
      <c r="F94" s="32" t="s">
        <v>769</v>
      </c>
      <c r="G94" s="32"/>
      <c r="H94" s="32"/>
      <c r="I94" s="32"/>
      <c r="J94" s="32"/>
      <c r="K94" s="32"/>
      <c r="M94" s="15" t="s">
        <v>284</v>
      </c>
      <c r="N94" s="12" t="s">
        <v>314</v>
      </c>
      <c r="O94" s="12" t="s">
        <v>314</v>
      </c>
    </row>
    <row r="95" spans="6:18" x14ac:dyDescent="0.25">
      <c r="F95" s="32"/>
      <c r="G95" s="32"/>
      <c r="H95" s="32"/>
      <c r="I95" s="32"/>
      <c r="J95" s="32"/>
      <c r="K95" s="32"/>
      <c r="M95" s="11" t="s">
        <v>285</v>
      </c>
      <c r="N95" s="13">
        <v>5</v>
      </c>
      <c r="O95" s="13">
        <v>5</v>
      </c>
    </row>
    <row r="96" spans="6:18" x14ac:dyDescent="0.25">
      <c r="F96" s="32"/>
      <c r="G96" s="32"/>
      <c r="H96" s="32"/>
      <c r="I96" s="32"/>
      <c r="J96" s="32"/>
      <c r="K96" s="32"/>
      <c r="M96" s="11" t="s">
        <v>286</v>
      </c>
      <c r="N96" s="14">
        <v>8.5</v>
      </c>
      <c r="O96" s="14">
        <v>8.3000000000000007</v>
      </c>
    </row>
    <row r="97" spans="6:15" x14ac:dyDescent="0.25">
      <c r="F97" s="2" t="s">
        <v>0</v>
      </c>
      <c r="G97" s="4">
        <v>46240</v>
      </c>
      <c r="H97" s="2" t="s">
        <v>2</v>
      </c>
      <c r="I97" s="1" t="s">
        <v>47</v>
      </c>
      <c r="J97" s="2" t="s">
        <v>11</v>
      </c>
      <c r="K97" s="1" t="s">
        <v>14</v>
      </c>
      <c r="M97" s="11" t="s">
        <v>287</v>
      </c>
      <c r="N97" s="1">
        <v>0.16</v>
      </c>
      <c r="O97" s="1">
        <v>0.23</v>
      </c>
    </row>
    <row r="98" spans="6:15" x14ac:dyDescent="0.25">
      <c r="F98" s="32" t="s">
        <v>787</v>
      </c>
      <c r="G98" s="32"/>
      <c r="H98" s="32"/>
      <c r="I98" s="32"/>
      <c r="J98" s="32"/>
      <c r="K98" s="32"/>
      <c r="M98" s="11" t="s">
        <v>288</v>
      </c>
      <c r="N98" s="1">
        <v>0.93</v>
      </c>
      <c r="O98" s="1">
        <v>0.87</v>
      </c>
    </row>
    <row r="99" spans="6:15" x14ac:dyDescent="0.25">
      <c r="F99" s="32"/>
      <c r="G99" s="32"/>
      <c r="H99" s="32"/>
      <c r="I99" s="32"/>
      <c r="J99" s="32"/>
      <c r="K99" s="32"/>
      <c r="M99" s="11" t="s">
        <v>289</v>
      </c>
      <c r="N99" s="13">
        <v>1.6</v>
      </c>
      <c r="O99" s="13">
        <v>1.5</v>
      </c>
    </row>
    <row r="100" spans="6:15" x14ac:dyDescent="0.25">
      <c r="F100" s="32"/>
      <c r="G100" s="32"/>
      <c r="H100" s="32"/>
      <c r="I100" s="32"/>
      <c r="J100" s="32"/>
      <c r="K100" s="32"/>
      <c r="M100" s="11" t="s">
        <v>290</v>
      </c>
      <c r="N100" s="13">
        <v>28</v>
      </c>
      <c r="O100" s="13">
        <v>29</v>
      </c>
    </row>
    <row r="101" spans="6:15" x14ac:dyDescent="0.25">
      <c r="F101" s="2" t="s">
        <v>0</v>
      </c>
      <c r="G101" s="4">
        <v>46245</v>
      </c>
      <c r="H101" s="2" t="s">
        <v>2</v>
      </c>
      <c r="I101" s="1" t="s">
        <v>22</v>
      </c>
      <c r="J101" s="2" t="s">
        <v>11</v>
      </c>
      <c r="K101" s="1" t="s">
        <v>14</v>
      </c>
      <c r="M101" s="11" t="s">
        <v>291</v>
      </c>
      <c r="N101" s="1">
        <v>6.3</v>
      </c>
      <c r="O101" s="1">
        <v>9.3000000000000007</v>
      </c>
    </row>
    <row r="102" spans="6:15" ht="14.45" customHeight="1" x14ac:dyDescent="0.25">
      <c r="F102" s="32" t="s">
        <v>865</v>
      </c>
      <c r="G102" s="32"/>
      <c r="H102" s="32"/>
      <c r="I102" s="32"/>
      <c r="J102" s="32"/>
      <c r="K102" s="32"/>
      <c r="M102" s="11" t="s">
        <v>292</v>
      </c>
      <c r="N102" s="13">
        <v>0.23</v>
      </c>
      <c r="O102" s="13">
        <v>0.14000000000000001</v>
      </c>
    </row>
    <row r="103" spans="6:15" x14ac:dyDescent="0.25">
      <c r="F103" s="32"/>
      <c r="G103" s="32"/>
      <c r="H103" s="32"/>
      <c r="I103" s="32"/>
      <c r="J103" s="32"/>
      <c r="K103" s="32"/>
      <c r="M103" s="11" t="s">
        <v>293</v>
      </c>
      <c r="N103" s="14">
        <v>28</v>
      </c>
      <c r="O103" s="14">
        <v>21</v>
      </c>
    </row>
    <row r="104" spans="6:15" x14ac:dyDescent="0.25">
      <c r="F104" s="32"/>
      <c r="G104" s="32"/>
      <c r="H104" s="32"/>
      <c r="I104" s="32"/>
      <c r="J104" s="32"/>
      <c r="K104" s="32"/>
      <c r="M104" s="11" t="s">
        <v>294</v>
      </c>
      <c r="N104" s="1">
        <v>18</v>
      </c>
      <c r="O104" s="1">
        <v>32.5</v>
      </c>
    </row>
    <row r="105" spans="6:15" x14ac:dyDescent="0.25">
      <c r="F105" s="32"/>
      <c r="G105" s="32"/>
      <c r="H105" s="32"/>
      <c r="I105" s="32"/>
      <c r="J105" s="32"/>
      <c r="K105" s="32"/>
      <c r="M105" s="11" t="s">
        <v>295</v>
      </c>
      <c r="N105" s="1">
        <v>255</v>
      </c>
      <c r="O105" s="1">
        <v>230</v>
      </c>
    </row>
    <row r="106" spans="6:15" x14ac:dyDescent="0.25">
      <c r="F106" s="32"/>
      <c r="G106" s="32"/>
      <c r="H106" s="32"/>
      <c r="I106" s="32"/>
      <c r="J106" s="32"/>
      <c r="K106" s="32"/>
      <c r="M106" s="11" t="s">
        <v>296</v>
      </c>
      <c r="N106" s="1">
        <v>6572</v>
      </c>
      <c r="O106" s="1">
        <v>6184</v>
      </c>
    </row>
    <row r="107" spans="6:15" x14ac:dyDescent="0.25">
      <c r="F107" s="32"/>
      <c r="G107" s="32"/>
      <c r="H107" s="32"/>
      <c r="I107" s="32"/>
      <c r="J107" s="32"/>
      <c r="K107" s="32"/>
      <c r="M107" s="11" t="s">
        <v>297</v>
      </c>
      <c r="N107" s="1">
        <v>153</v>
      </c>
      <c r="O107" s="1">
        <v>180</v>
      </c>
    </row>
    <row r="108" spans="6:15" x14ac:dyDescent="0.25">
      <c r="F108" s="2" t="s">
        <v>0</v>
      </c>
      <c r="G108" s="4">
        <v>46246</v>
      </c>
      <c r="H108" s="2" t="s">
        <v>2</v>
      </c>
      <c r="I108" s="1" t="s">
        <v>22</v>
      </c>
      <c r="J108" s="2" t="s">
        <v>11</v>
      </c>
      <c r="K108" s="1" t="s">
        <v>14</v>
      </c>
      <c r="M108" s="11" t="s">
        <v>298</v>
      </c>
      <c r="N108" s="1">
        <v>23</v>
      </c>
      <c r="O108" s="1">
        <v>31</v>
      </c>
    </row>
    <row r="109" spans="6:15" x14ac:dyDescent="0.25">
      <c r="F109" s="32" t="s">
        <v>878</v>
      </c>
      <c r="G109" s="32"/>
      <c r="H109" s="32"/>
      <c r="I109" s="32"/>
      <c r="J109" s="32"/>
      <c r="K109" s="32"/>
      <c r="M109" s="11" t="s">
        <v>299</v>
      </c>
      <c r="N109" s="1" t="s">
        <v>56</v>
      </c>
      <c r="O109" s="1" t="s">
        <v>56</v>
      </c>
    </row>
    <row r="110" spans="6:15" x14ac:dyDescent="0.25">
      <c r="F110" s="32"/>
      <c r="G110" s="32"/>
      <c r="H110" s="32"/>
      <c r="I110" s="32"/>
      <c r="J110" s="32"/>
      <c r="K110" s="32"/>
      <c r="M110" s="11" t="s">
        <v>300</v>
      </c>
      <c r="N110" s="1" t="s">
        <v>56</v>
      </c>
      <c r="O110" s="1" t="s">
        <v>56</v>
      </c>
    </row>
    <row r="111" spans="6:15" x14ac:dyDescent="0.25">
      <c r="F111" s="2" t="s">
        <v>0</v>
      </c>
      <c r="G111" s="4">
        <v>46247</v>
      </c>
      <c r="H111" s="2" t="s">
        <v>2</v>
      </c>
      <c r="I111" s="1" t="s">
        <v>385</v>
      </c>
      <c r="J111" s="2" t="s">
        <v>11</v>
      </c>
      <c r="K111" s="1" t="s">
        <v>53</v>
      </c>
      <c r="M111" s="11" t="s">
        <v>301</v>
      </c>
      <c r="N111" s="1" t="s">
        <v>56</v>
      </c>
      <c r="O111" s="1" t="s">
        <v>56</v>
      </c>
    </row>
    <row r="112" spans="6:15" x14ac:dyDescent="0.25">
      <c r="F112" s="32" t="s">
        <v>892</v>
      </c>
      <c r="G112" s="32"/>
      <c r="H112" s="32"/>
      <c r="I112" s="32"/>
      <c r="J112" s="32"/>
      <c r="K112" s="32"/>
      <c r="M112" s="11" t="s">
        <v>302</v>
      </c>
      <c r="N112" s="1" t="s">
        <v>56</v>
      </c>
      <c r="O112" s="1" t="s">
        <v>56</v>
      </c>
    </row>
    <row r="113" spans="6:15" x14ac:dyDescent="0.25">
      <c r="F113" s="32"/>
      <c r="G113" s="32"/>
      <c r="H113" s="32"/>
      <c r="I113" s="32"/>
      <c r="J113" s="32"/>
      <c r="K113" s="32"/>
      <c r="M113" s="11" t="s">
        <v>303</v>
      </c>
      <c r="N113" s="1" t="s">
        <v>56</v>
      </c>
      <c r="O113" s="1" t="s">
        <v>56</v>
      </c>
    </row>
    <row r="114" spans="6:15" x14ac:dyDescent="0.25">
      <c r="F114" s="2" t="s">
        <v>0</v>
      </c>
      <c r="G114" s="4">
        <v>46251</v>
      </c>
      <c r="H114" s="2" t="s">
        <v>2</v>
      </c>
      <c r="I114" s="1" t="s">
        <v>733</v>
      </c>
      <c r="J114" s="2" t="s">
        <v>11</v>
      </c>
      <c r="K114" s="1" t="s">
        <v>14</v>
      </c>
      <c r="M114" s="11" t="s">
        <v>304</v>
      </c>
      <c r="N114" s="13" t="s">
        <v>56</v>
      </c>
      <c r="O114" s="13" t="s">
        <v>56</v>
      </c>
    </row>
    <row r="115" spans="6:15" x14ac:dyDescent="0.25">
      <c r="F115" s="32" t="s">
        <v>637</v>
      </c>
      <c r="G115" s="32"/>
      <c r="H115" s="32"/>
      <c r="I115" s="32"/>
      <c r="J115" s="32"/>
      <c r="K115" s="32"/>
      <c r="M115" s="11" t="s">
        <v>305</v>
      </c>
      <c r="N115" s="1">
        <v>4.0999999999999996</v>
      </c>
      <c r="O115" s="1">
        <v>6</v>
      </c>
    </row>
    <row r="116" spans="6:15" x14ac:dyDescent="0.25">
      <c r="F116" s="32"/>
      <c r="G116" s="32"/>
      <c r="H116" s="32"/>
      <c r="I116" s="32"/>
      <c r="J116" s="32"/>
      <c r="K116" s="32"/>
      <c r="M116" s="11" t="s">
        <v>306</v>
      </c>
      <c r="N116" s="14">
        <v>43</v>
      </c>
      <c r="O116" s="14">
        <v>34.299999999999997</v>
      </c>
    </row>
    <row r="117" spans="6:15" x14ac:dyDescent="0.25">
      <c r="F117" s="2" t="s">
        <v>0</v>
      </c>
      <c r="G117" s="4">
        <v>46253</v>
      </c>
      <c r="H117" s="2" t="s">
        <v>2</v>
      </c>
      <c r="I117" s="1" t="s">
        <v>47</v>
      </c>
      <c r="J117" s="2" t="s">
        <v>11</v>
      </c>
      <c r="K117" s="1" t="s">
        <v>352</v>
      </c>
      <c r="M117" s="11" t="s">
        <v>307</v>
      </c>
      <c r="N117" s="1">
        <v>0.6</v>
      </c>
      <c r="O117" s="1">
        <v>0.8</v>
      </c>
    </row>
    <row r="118" spans="6:15" ht="14.45" customHeight="1" x14ac:dyDescent="0.25">
      <c r="F118" s="32" t="s">
        <v>932</v>
      </c>
      <c r="G118" s="32"/>
      <c r="H118" s="32"/>
      <c r="I118" s="32"/>
      <c r="J118" s="32"/>
      <c r="K118" s="32"/>
      <c r="M118" s="11" t="s">
        <v>308</v>
      </c>
      <c r="N118" s="1">
        <v>25.8</v>
      </c>
      <c r="O118" s="1">
        <v>26.9</v>
      </c>
    </row>
    <row r="119" spans="6:15" x14ac:dyDescent="0.25">
      <c r="F119" s="32"/>
      <c r="G119" s="32"/>
      <c r="H119" s="32"/>
      <c r="I119" s="32"/>
      <c r="J119" s="32"/>
      <c r="K119" s="32"/>
      <c r="M119" s="11" t="s">
        <v>309</v>
      </c>
      <c r="N119" s="1" t="s">
        <v>56</v>
      </c>
      <c r="O119" s="1" t="s">
        <v>56</v>
      </c>
    </row>
    <row r="120" spans="6:15" x14ac:dyDescent="0.25">
      <c r="F120" s="32"/>
      <c r="G120" s="32"/>
      <c r="H120" s="32"/>
      <c r="I120" s="32"/>
      <c r="J120" s="32"/>
      <c r="K120" s="32"/>
      <c r="M120" s="11" t="s">
        <v>310</v>
      </c>
      <c r="N120" s="1" t="s">
        <v>56</v>
      </c>
      <c r="O120" s="1" t="s">
        <v>56</v>
      </c>
    </row>
    <row r="121" spans="6:15" x14ac:dyDescent="0.25">
      <c r="F121" s="32"/>
      <c r="G121" s="32"/>
      <c r="H121" s="32"/>
      <c r="I121" s="32"/>
      <c r="J121" s="32"/>
      <c r="K121" s="32"/>
      <c r="M121" s="11" t="s">
        <v>311</v>
      </c>
      <c r="N121" s="1" t="s">
        <v>56</v>
      </c>
      <c r="O121" s="1" t="s">
        <v>56</v>
      </c>
    </row>
    <row r="122" spans="6:15" x14ac:dyDescent="0.25">
      <c r="F122" s="2" t="s">
        <v>0</v>
      </c>
      <c r="G122" s="4">
        <v>46264</v>
      </c>
      <c r="H122" s="2" t="s">
        <v>2</v>
      </c>
      <c r="I122" s="1" t="s">
        <v>16</v>
      </c>
      <c r="J122" s="2" t="s">
        <v>11</v>
      </c>
      <c r="K122" s="1" t="s">
        <v>14</v>
      </c>
    </row>
    <row r="123" spans="6:15" x14ac:dyDescent="0.25">
      <c r="F123" s="32" t="s">
        <v>1014</v>
      </c>
      <c r="G123" s="32"/>
      <c r="H123" s="32"/>
      <c r="I123" s="32"/>
      <c r="J123" s="32"/>
      <c r="K123" s="32"/>
    </row>
    <row r="124" spans="6:15" x14ac:dyDescent="0.25">
      <c r="F124" s="32"/>
      <c r="G124" s="32"/>
      <c r="H124" s="32"/>
      <c r="I124" s="32"/>
      <c r="J124" s="32"/>
      <c r="K124" s="32"/>
    </row>
    <row r="125" spans="6:15" x14ac:dyDescent="0.25">
      <c r="F125" s="32"/>
      <c r="G125" s="32"/>
      <c r="H125" s="32"/>
      <c r="I125" s="32"/>
      <c r="J125" s="32"/>
      <c r="K125" s="32"/>
    </row>
    <row r="126" spans="6:15" x14ac:dyDescent="0.25">
      <c r="F126" s="32"/>
      <c r="G126" s="32"/>
      <c r="H126" s="32"/>
      <c r="I126" s="32"/>
      <c r="J126" s="32"/>
      <c r="K126" s="32"/>
    </row>
    <row r="127" spans="6:15" x14ac:dyDescent="0.25">
      <c r="F127" s="32"/>
      <c r="G127" s="32"/>
      <c r="H127" s="32"/>
      <c r="I127" s="32"/>
      <c r="J127" s="32"/>
      <c r="K127" s="32"/>
    </row>
    <row r="128" spans="6:15" x14ac:dyDescent="0.25">
      <c r="F128" s="32"/>
      <c r="G128" s="32"/>
      <c r="H128" s="32"/>
      <c r="I128" s="32"/>
      <c r="J128" s="32"/>
      <c r="K128" s="32"/>
    </row>
    <row r="129" spans="6:11" x14ac:dyDescent="0.25">
      <c r="F129" s="32"/>
      <c r="G129" s="32"/>
      <c r="H129" s="32"/>
      <c r="I129" s="32"/>
      <c r="J129" s="32"/>
      <c r="K129" s="32"/>
    </row>
    <row r="130" spans="6:11" x14ac:dyDescent="0.25">
      <c r="F130" s="32"/>
      <c r="G130" s="32"/>
      <c r="H130" s="32"/>
      <c r="I130" s="32"/>
      <c r="J130" s="32"/>
      <c r="K130" s="32"/>
    </row>
    <row r="131" spans="6:11" x14ac:dyDescent="0.25">
      <c r="F131" s="32"/>
      <c r="G131" s="32"/>
      <c r="H131" s="32"/>
      <c r="I131" s="32"/>
      <c r="J131" s="32"/>
      <c r="K131" s="32"/>
    </row>
    <row r="132" spans="6:11" x14ac:dyDescent="0.25">
      <c r="F132" s="32"/>
      <c r="G132" s="32"/>
      <c r="H132" s="32"/>
      <c r="I132" s="32"/>
      <c r="J132" s="32"/>
      <c r="K132" s="32"/>
    </row>
    <row r="133" spans="6:11" x14ac:dyDescent="0.25">
      <c r="F133" s="2" t="s">
        <v>0</v>
      </c>
      <c r="G133" s="4">
        <v>46266</v>
      </c>
      <c r="H133" s="2" t="s">
        <v>2</v>
      </c>
      <c r="I133" s="1" t="s">
        <v>15</v>
      </c>
      <c r="J133" s="2" t="s">
        <v>11</v>
      </c>
      <c r="K133" s="1" t="s">
        <v>14</v>
      </c>
    </row>
    <row r="134" spans="6:11" x14ac:dyDescent="0.25">
      <c r="F134" s="32" t="s">
        <v>1044</v>
      </c>
      <c r="G134" s="32"/>
      <c r="H134" s="32"/>
      <c r="I134" s="32"/>
      <c r="J134" s="32"/>
      <c r="K134" s="32"/>
    </row>
    <row r="135" spans="6:11" x14ac:dyDescent="0.25">
      <c r="F135" s="32"/>
      <c r="G135" s="32"/>
      <c r="H135" s="32"/>
      <c r="I135" s="32"/>
      <c r="J135" s="32"/>
      <c r="K135" s="32"/>
    </row>
    <row r="136" spans="6:11" x14ac:dyDescent="0.25">
      <c r="F136" s="2" t="s">
        <v>0</v>
      </c>
      <c r="G136" s="4">
        <v>46270</v>
      </c>
      <c r="H136" s="2" t="s">
        <v>2</v>
      </c>
      <c r="I136" s="1" t="s">
        <v>624</v>
      </c>
      <c r="J136" s="2" t="s">
        <v>11</v>
      </c>
      <c r="K136" s="1" t="s">
        <v>14</v>
      </c>
    </row>
    <row r="137" spans="6:11" ht="14.45" customHeight="1" x14ac:dyDescent="0.25">
      <c r="F137" s="32" t="s">
        <v>1085</v>
      </c>
      <c r="G137" s="32"/>
      <c r="H137" s="32"/>
      <c r="I137" s="32"/>
      <c r="J137" s="32"/>
      <c r="K137" s="32"/>
    </row>
    <row r="138" spans="6:11" x14ac:dyDescent="0.25">
      <c r="F138" s="32"/>
      <c r="G138" s="32"/>
      <c r="H138" s="32"/>
      <c r="I138" s="32"/>
      <c r="J138" s="32"/>
      <c r="K138" s="32"/>
    </row>
    <row r="139" spans="6:11" x14ac:dyDescent="0.25">
      <c r="F139" s="32"/>
      <c r="G139" s="32"/>
      <c r="H139" s="32"/>
      <c r="I139" s="32"/>
      <c r="J139" s="32"/>
      <c r="K139" s="32"/>
    </row>
    <row r="140" spans="6:11" x14ac:dyDescent="0.25">
      <c r="F140" s="2" t="s">
        <v>0</v>
      </c>
      <c r="G140" s="4">
        <v>46272</v>
      </c>
      <c r="H140" s="2" t="s">
        <v>2</v>
      </c>
      <c r="I140" s="1" t="s">
        <v>15</v>
      </c>
      <c r="J140" s="2" t="s">
        <v>11</v>
      </c>
      <c r="K140" s="1" t="s">
        <v>14</v>
      </c>
    </row>
    <row r="141" spans="6:11" ht="14.45" customHeight="1" x14ac:dyDescent="0.25">
      <c r="F141" s="32" t="s">
        <v>1101</v>
      </c>
      <c r="G141" s="32"/>
      <c r="H141" s="32"/>
      <c r="I141" s="32"/>
      <c r="J141" s="32"/>
      <c r="K141" s="32"/>
    </row>
    <row r="142" spans="6:11" x14ac:dyDescent="0.25">
      <c r="F142" s="32"/>
      <c r="G142" s="32"/>
      <c r="H142" s="32"/>
      <c r="I142" s="32"/>
      <c r="J142" s="32"/>
      <c r="K142" s="32"/>
    </row>
    <row r="143" spans="6:11" x14ac:dyDescent="0.25">
      <c r="F143" s="32"/>
      <c r="G143" s="32"/>
      <c r="H143" s="32"/>
      <c r="I143" s="32"/>
      <c r="J143" s="32"/>
      <c r="K143" s="32"/>
    </row>
    <row r="144" spans="6:11" x14ac:dyDescent="0.25">
      <c r="F144" s="2" t="s">
        <v>0</v>
      </c>
      <c r="G144" s="4">
        <v>46274</v>
      </c>
      <c r="H144" s="2" t="s">
        <v>2</v>
      </c>
      <c r="I144" s="1" t="s">
        <v>47</v>
      </c>
      <c r="J144" s="2" t="s">
        <v>11</v>
      </c>
      <c r="K144" s="1" t="s">
        <v>14</v>
      </c>
    </row>
    <row r="145" spans="6:11" x14ac:dyDescent="0.25">
      <c r="F145" s="32" t="s">
        <v>1118</v>
      </c>
      <c r="G145" s="32"/>
      <c r="H145" s="32"/>
      <c r="I145" s="32"/>
      <c r="J145" s="32"/>
      <c r="K145" s="32"/>
    </row>
    <row r="146" spans="6:11" x14ac:dyDescent="0.25">
      <c r="F146" s="32"/>
      <c r="G146" s="32"/>
      <c r="H146" s="32"/>
      <c r="I146" s="32"/>
      <c r="J146" s="32"/>
      <c r="K146" s="32"/>
    </row>
    <row r="147" spans="6:11" x14ac:dyDescent="0.25">
      <c r="F147" s="2" t="s">
        <v>0</v>
      </c>
      <c r="G147" s="4">
        <v>46276</v>
      </c>
      <c r="H147" s="2" t="s">
        <v>2</v>
      </c>
      <c r="I147" s="1" t="s">
        <v>15</v>
      </c>
      <c r="J147" s="2" t="s">
        <v>11</v>
      </c>
      <c r="K147" s="1" t="s">
        <v>14</v>
      </c>
    </row>
    <row r="148" spans="6:11" x14ac:dyDescent="0.25">
      <c r="F148" s="32" t="s">
        <v>1142</v>
      </c>
      <c r="G148" s="32"/>
      <c r="H148" s="32"/>
      <c r="I148" s="32"/>
      <c r="J148" s="32"/>
      <c r="K148" s="32"/>
    </row>
    <row r="149" spans="6:11" x14ac:dyDescent="0.25">
      <c r="F149" s="32"/>
      <c r="G149" s="32"/>
      <c r="H149" s="32"/>
      <c r="I149" s="32"/>
      <c r="J149" s="32"/>
      <c r="K149" s="32"/>
    </row>
    <row r="150" spans="6:11" x14ac:dyDescent="0.25">
      <c r="F150" s="32"/>
      <c r="G150" s="32"/>
      <c r="H150" s="32"/>
      <c r="I150" s="32"/>
      <c r="J150" s="32"/>
      <c r="K150" s="32"/>
    </row>
    <row r="151" spans="6:11" x14ac:dyDescent="0.25">
      <c r="F151" s="32"/>
      <c r="G151" s="32"/>
      <c r="H151" s="32"/>
      <c r="I151" s="32"/>
      <c r="J151" s="32"/>
      <c r="K151" s="32"/>
    </row>
    <row r="152" spans="6:11" x14ac:dyDescent="0.25">
      <c r="F152" s="32"/>
      <c r="G152" s="32"/>
      <c r="H152" s="32"/>
      <c r="I152" s="32"/>
      <c r="J152" s="32"/>
      <c r="K152" s="32"/>
    </row>
    <row r="153" spans="6:11" x14ac:dyDescent="0.25">
      <c r="F153" s="32"/>
      <c r="G153" s="32"/>
      <c r="H153" s="32"/>
      <c r="I153" s="32"/>
      <c r="J153" s="32"/>
      <c r="K153" s="32"/>
    </row>
    <row r="154" spans="6:11" x14ac:dyDescent="0.25">
      <c r="F154" s="32"/>
      <c r="G154" s="32"/>
      <c r="H154" s="32"/>
      <c r="I154" s="32"/>
      <c r="J154" s="32"/>
      <c r="K154" s="32"/>
    </row>
    <row r="155" spans="6:11" x14ac:dyDescent="0.25">
      <c r="F155" s="32"/>
      <c r="G155" s="32"/>
      <c r="H155" s="32"/>
      <c r="I155" s="32"/>
      <c r="J155" s="32"/>
      <c r="K155" s="32"/>
    </row>
    <row r="156" spans="6:11" x14ac:dyDescent="0.25">
      <c r="F156" s="32"/>
      <c r="G156" s="32"/>
      <c r="H156" s="32"/>
      <c r="I156" s="32"/>
      <c r="J156" s="32"/>
      <c r="K156" s="32"/>
    </row>
    <row r="157" spans="6:11" x14ac:dyDescent="0.25">
      <c r="F157" s="32"/>
      <c r="G157" s="32"/>
      <c r="H157" s="32"/>
      <c r="I157" s="32"/>
      <c r="J157" s="32"/>
      <c r="K157" s="32"/>
    </row>
    <row r="158" spans="6:11" x14ac:dyDescent="0.25">
      <c r="F158" s="2" t="s">
        <v>0</v>
      </c>
      <c r="G158" s="4">
        <v>46280</v>
      </c>
      <c r="H158" s="2" t="s">
        <v>2</v>
      </c>
      <c r="I158" s="1" t="s">
        <v>22</v>
      </c>
      <c r="J158" s="2" t="s">
        <v>11</v>
      </c>
      <c r="K158" s="1" t="s">
        <v>14</v>
      </c>
    </row>
    <row r="159" spans="6:11" ht="14.45" customHeight="1" x14ac:dyDescent="0.25">
      <c r="F159" s="32" t="s">
        <v>1167</v>
      </c>
      <c r="G159" s="32"/>
      <c r="H159" s="32"/>
      <c r="I159" s="32"/>
      <c r="J159" s="32"/>
      <c r="K159" s="32"/>
    </row>
    <row r="160" spans="6:11" x14ac:dyDescent="0.25">
      <c r="F160" s="32"/>
      <c r="G160" s="32"/>
      <c r="H160" s="32"/>
      <c r="I160" s="32"/>
      <c r="J160" s="32"/>
      <c r="K160" s="32"/>
    </row>
    <row r="161" spans="6:11" x14ac:dyDescent="0.25">
      <c r="F161" s="32"/>
      <c r="G161" s="32"/>
      <c r="H161" s="32"/>
      <c r="I161" s="32"/>
      <c r="J161" s="32"/>
      <c r="K161" s="32"/>
    </row>
    <row r="162" spans="6:11" x14ac:dyDescent="0.25">
      <c r="F162" s="32"/>
      <c r="G162" s="32"/>
      <c r="H162" s="32"/>
      <c r="I162" s="32"/>
      <c r="J162" s="32"/>
      <c r="K162" s="32"/>
    </row>
    <row r="163" spans="6:11" x14ac:dyDescent="0.25">
      <c r="F163" s="2" t="s">
        <v>0</v>
      </c>
      <c r="G163" s="4">
        <v>46282</v>
      </c>
      <c r="H163" s="2" t="s">
        <v>2</v>
      </c>
      <c r="I163" s="1" t="s">
        <v>350</v>
      </c>
      <c r="J163" s="2" t="s">
        <v>11</v>
      </c>
      <c r="K163" s="1" t="s">
        <v>14</v>
      </c>
    </row>
    <row r="164" spans="6:11" x14ac:dyDescent="0.25">
      <c r="F164" s="32" t="s">
        <v>1190</v>
      </c>
      <c r="G164" s="32"/>
      <c r="H164" s="32"/>
      <c r="I164" s="32"/>
      <c r="J164" s="32"/>
      <c r="K164" s="32"/>
    </row>
    <row r="165" spans="6:11" x14ac:dyDescent="0.25">
      <c r="F165" s="32"/>
      <c r="G165" s="32"/>
      <c r="H165" s="32"/>
      <c r="I165" s="32"/>
      <c r="J165" s="32"/>
      <c r="K165" s="32"/>
    </row>
    <row r="166" spans="6:11" x14ac:dyDescent="0.25">
      <c r="F166" s="2" t="s">
        <v>0</v>
      </c>
      <c r="G166" s="4">
        <v>46283</v>
      </c>
      <c r="H166" s="2" t="s">
        <v>2</v>
      </c>
      <c r="I166" s="1" t="s">
        <v>22</v>
      </c>
      <c r="J166" s="2" t="s">
        <v>11</v>
      </c>
      <c r="K166" s="1" t="s">
        <v>14</v>
      </c>
    </row>
    <row r="167" spans="6:11" ht="14.45" customHeight="1" x14ac:dyDescent="0.25">
      <c r="F167" s="32" t="s">
        <v>1198</v>
      </c>
      <c r="G167" s="32"/>
      <c r="H167" s="32"/>
      <c r="I167" s="32"/>
      <c r="J167" s="32"/>
      <c r="K167" s="32"/>
    </row>
    <row r="168" spans="6:11" x14ac:dyDescent="0.25">
      <c r="F168" s="32"/>
      <c r="G168" s="32"/>
      <c r="H168" s="32"/>
      <c r="I168" s="32"/>
      <c r="J168" s="32"/>
      <c r="K168" s="32"/>
    </row>
    <row r="169" spans="6:11" x14ac:dyDescent="0.25">
      <c r="F169" s="32"/>
      <c r="G169" s="32"/>
      <c r="H169" s="32"/>
      <c r="I169" s="32"/>
      <c r="J169" s="32"/>
      <c r="K169" s="32"/>
    </row>
    <row r="170" spans="6:11" x14ac:dyDescent="0.25">
      <c r="F170" s="32"/>
      <c r="G170" s="32"/>
      <c r="H170" s="32"/>
      <c r="I170" s="32"/>
      <c r="J170" s="32"/>
      <c r="K170" s="32"/>
    </row>
    <row r="171" spans="6:11" x14ac:dyDescent="0.25">
      <c r="F171" s="2" t="s">
        <v>0</v>
      </c>
      <c r="G171" s="4">
        <v>46286</v>
      </c>
      <c r="H171" s="2" t="s">
        <v>2</v>
      </c>
      <c r="I171" s="1" t="s">
        <v>22</v>
      </c>
      <c r="J171" s="2" t="s">
        <v>11</v>
      </c>
      <c r="K171" s="1" t="s">
        <v>14</v>
      </c>
    </row>
    <row r="172" spans="6:11" ht="14.45" customHeight="1" x14ac:dyDescent="0.25">
      <c r="F172" s="32" t="s">
        <v>1227</v>
      </c>
      <c r="G172" s="32"/>
      <c r="H172" s="32"/>
      <c r="I172" s="32"/>
      <c r="J172" s="32"/>
      <c r="K172" s="32"/>
    </row>
    <row r="173" spans="6:11" x14ac:dyDescent="0.25">
      <c r="F173" s="32"/>
      <c r="G173" s="32"/>
      <c r="H173" s="32"/>
      <c r="I173" s="32"/>
      <c r="J173" s="32"/>
      <c r="K173" s="32"/>
    </row>
    <row r="174" spans="6:11" x14ac:dyDescent="0.25">
      <c r="F174" s="32"/>
      <c r="G174" s="32"/>
      <c r="H174" s="32"/>
      <c r="I174" s="32"/>
      <c r="J174" s="32"/>
      <c r="K174" s="32"/>
    </row>
    <row r="175" spans="6:11" x14ac:dyDescent="0.25">
      <c r="F175" s="2" t="s">
        <v>0</v>
      </c>
      <c r="G175" s="4">
        <v>46289</v>
      </c>
      <c r="H175" s="2" t="s">
        <v>2</v>
      </c>
      <c r="I175" s="1" t="s">
        <v>22</v>
      </c>
      <c r="J175" s="2" t="s">
        <v>11</v>
      </c>
      <c r="K175" s="1" t="s">
        <v>14</v>
      </c>
    </row>
    <row r="176" spans="6:11" x14ac:dyDescent="0.25">
      <c r="F176" s="32" t="s">
        <v>1261</v>
      </c>
      <c r="G176" s="32"/>
      <c r="H176" s="32"/>
      <c r="I176" s="32"/>
      <c r="J176" s="32"/>
      <c r="K176" s="32"/>
    </row>
    <row r="177" spans="6:11" x14ac:dyDescent="0.25">
      <c r="F177" s="32"/>
      <c r="G177" s="32"/>
      <c r="H177" s="32"/>
      <c r="I177" s="32"/>
      <c r="J177" s="32"/>
      <c r="K177" s="32"/>
    </row>
    <row r="178" spans="6:11" x14ac:dyDescent="0.25">
      <c r="F178" s="32"/>
      <c r="G178" s="32"/>
      <c r="H178" s="32"/>
      <c r="I178" s="32"/>
      <c r="J178" s="32"/>
      <c r="K178" s="32"/>
    </row>
  </sheetData>
  <mergeCells count="40">
    <mergeCell ref="F112:K113"/>
    <mergeCell ref="F109:K110"/>
    <mergeCell ref="F32:K33"/>
    <mergeCell ref="W1:X1"/>
    <mergeCell ref="T1:U1"/>
    <mergeCell ref="F3:K4"/>
    <mergeCell ref="F6:K7"/>
    <mergeCell ref="F1:K1"/>
    <mergeCell ref="M1:R1"/>
    <mergeCell ref="F9:K11"/>
    <mergeCell ref="F13:K16"/>
    <mergeCell ref="F21:K30"/>
    <mergeCell ref="F18:K19"/>
    <mergeCell ref="F102:K107"/>
    <mergeCell ref="F35:K36"/>
    <mergeCell ref="F38:K45"/>
    <mergeCell ref="F88:K92"/>
    <mergeCell ref="F50:K59"/>
    <mergeCell ref="F61:K64"/>
    <mergeCell ref="F47:K48"/>
    <mergeCell ref="F98:K100"/>
    <mergeCell ref="F94:K96"/>
    <mergeCell ref="F66:K70"/>
    <mergeCell ref="F78:K80"/>
    <mergeCell ref="F82:K86"/>
    <mergeCell ref="F75:K76"/>
    <mergeCell ref="F72:K73"/>
    <mergeCell ref="F123:K132"/>
    <mergeCell ref="F118:K121"/>
    <mergeCell ref="F164:K165"/>
    <mergeCell ref="F115:K116"/>
    <mergeCell ref="F148:K157"/>
    <mergeCell ref="F145:K146"/>
    <mergeCell ref="F137:K139"/>
    <mergeCell ref="F141:K143"/>
    <mergeCell ref="F176:K178"/>
    <mergeCell ref="F172:K174"/>
    <mergeCell ref="F167:K170"/>
    <mergeCell ref="F159:K162"/>
    <mergeCell ref="F134:K135"/>
  </mergeCells>
  <phoneticPr fontId="4"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4635-A759-446D-ADC6-2180C206F203}">
  <dimension ref="A1:V75"/>
  <sheetViews>
    <sheetView topLeftCell="A49" workbookViewId="0">
      <selection activeCell="M73" sqref="M73"/>
    </sheetView>
  </sheetViews>
  <sheetFormatPr baseColWidth="10" defaultRowHeight="15" x14ac:dyDescent="0.25"/>
  <cols>
    <col min="1" max="1" width="11.5703125" style="7"/>
    <col min="2" max="2" width="22.7109375" style="7" bestFit="1" customWidth="1"/>
    <col min="3" max="3" width="11.5703125" style="7"/>
    <col min="4" max="4" width="26.28515625" style="7" bestFit="1" customWidth="1"/>
    <col min="18" max="18" width="21.28515625" bestFit="1" customWidth="1"/>
    <col min="19" max="19" width="19.28515625" bestFit="1" customWidth="1"/>
    <col min="21" max="21" width="11.5703125" style="7"/>
    <col min="22" max="22" width="15" style="7" bestFit="1" customWidth="1"/>
  </cols>
  <sheetData>
    <row r="1" spans="1:22" x14ac:dyDescent="0.25">
      <c r="A1" s="3" t="s">
        <v>0</v>
      </c>
      <c r="B1" s="3" t="s">
        <v>1</v>
      </c>
      <c r="C1" s="3" t="s">
        <v>2</v>
      </c>
      <c r="D1" s="3" t="s">
        <v>3</v>
      </c>
      <c r="F1" s="33" t="s">
        <v>4</v>
      </c>
      <c r="G1" s="33"/>
      <c r="H1" s="33"/>
      <c r="I1" s="33"/>
      <c r="J1" s="33"/>
      <c r="K1" s="33"/>
      <c r="M1" s="34" t="s">
        <v>5</v>
      </c>
      <c r="N1" s="38"/>
      <c r="O1" s="38"/>
      <c r="P1" s="35"/>
      <c r="R1" s="34" t="s">
        <v>7</v>
      </c>
      <c r="S1" s="35"/>
      <c r="U1" s="33" t="s">
        <v>87</v>
      </c>
      <c r="V1" s="33"/>
    </row>
    <row r="2" spans="1:22" x14ac:dyDescent="0.25">
      <c r="A2" s="6">
        <v>46197</v>
      </c>
      <c r="B2" s="7" t="s">
        <v>343</v>
      </c>
      <c r="C2" s="7" t="s">
        <v>344</v>
      </c>
      <c r="D2" s="7" t="s">
        <v>345</v>
      </c>
      <c r="F2" s="2" t="s">
        <v>0</v>
      </c>
      <c r="G2" s="4">
        <v>46198</v>
      </c>
      <c r="H2" s="2" t="s">
        <v>2</v>
      </c>
      <c r="I2" s="1" t="s">
        <v>47</v>
      </c>
      <c r="J2" s="2" t="s">
        <v>11</v>
      </c>
      <c r="K2" s="1" t="s">
        <v>14</v>
      </c>
      <c r="M2" s="2" t="s">
        <v>0</v>
      </c>
      <c r="N2" s="1"/>
      <c r="O2" s="2" t="s">
        <v>6</v>
      </c>
      <c r="P2" s="1"/>
      <c r="R2" s="2" t="s">
        <v>11</v>
      </c>
      <c r="S2" s="8" t="s">
        <v>174</v>
      </c>
      <c r="U2" s="3" t="s">
        <v>0</v>
      </c>
      <c r="V2" s="3" t="s">
        <v>88</v>
      </c>
    </row>
    <row r="3" spans="1:22" x14ac:dyDescent="0.25">
      <c r="A3" s="6">
        <v>46212</v>
      </c>
      <c r="B3" s="7" t="s">
        <v>30</v>
      </c>
      <c r="C3" s="7" t="s">
        <v>22</v>
      </c>
      <c r="D3" s="7" t="s">
        <v>464</v>
      </c>
      <c r="F3" s="32" t="s">
        <v>61</v>
      </c>
      <c r="G3" s="32"/>
      <c r="H3" s="32"/>
      <c r="I3" s="32"/>
      <c r="J3" s="32"/>
      <c r="K3" s="32"/>
      <c r="R3" s="2" t="s">
        <v>76</v>
      </c>
      <c r="S3" s="8" t="s">
        <v>175</v>
      </c>
    </row>
    <row r="4" spans="1:22" x14ac:dyDescent="0.25">
      <c r="A4" s="6">
        <v>46218</v>
      </c>
      <c r="B4" s="7" t="s">
        <v>530</v>
      </c>
      <c r="C4" s="7" t="s">
        <v>47</v>
      </c>
      <c r="D4" s="7" t="s">
        <v>531</v>
      </c>
      <c r="F4" s="32"/>
      <c r="G4" s="32"/>
      <c r="H4" s="32"/>
      <c r="I4" s="32"/>
      <c r="J4" s="32"/>
      <c r="K4" s="32"/>
      <c r="R4" s="2" t="s">
        <v>77</v>
      </c>
      <c r="S4" s="8"/>
    </row>
    <row r="5" spans="1:22" x14ac:dyDescent="0.25">
      <c r="A5" s="6">
        <v>46218</v>
      </c>
      <c r="B5" s="7" t="s">
        <v>381</v>
      </c>
      <c r="C5" s="7" t="s">
        <v>47</v>
      </c>
      <c r="D5" s="7" t="s">
        <v>533</v>
      </c>
      <c r="F5" s="2" t="s">
        <v>0</v>
      </c>
      <c r="G5" s="4">
        <v>46204</v>
      </c>
      <c r="H5" s="2" t="s">
        <v>2</v>
      </c>
      <c r="I5" s="1" t="s">
        <v>350</v>
      </c>
      <c r="J5" s="2" t="s">
        <v>11</v>
      </c>
      <c r="K5" s="1" t="s">
        <v>14</v>
      </c>
      <c r="R5" s="2" t="s">
        <v>78</v>
      </c>
      <c r="S5" s="8" t="s">
        <v>101</v>
      </c>
    </row>
    <row r="6" spans="1:22" x14ac:dyDescent="0.25">
      <c r="A6" s="6">
        <v>46219</v>
      </c>
      <c r="B6" s="7" t="s">
        <v>548</v>
      </c>
      <c r="C6" s="7" t="s">
        <v>47</v>
      </c>
      <c r="D6" s="7">
        <v>1000</v>
      </c>
      <c r="F6" s="32" t="s">
        <v>351</v>
      </c>
      <c r="G6" s="32"/>
      <c r="H6" s="32"/>
      <c r="I6" s="32"/>
      <c r="J6" s="32"/>
      <c r="K6" s="32"/>
      <c r="R6" s="2" t="s">
        <v>92</v>
      </c>
      <c r="S6" s="8" t="s">
        <v>144</v>
      </c>
    </row>
    <row r="7" spans="1:22" x14ac:dyDescent="0.25">
      <c r="A7" s="6">
        <v>46227</v>
      </c>
      <c r="B7" s="7" t="s">
        <v>381</v>
      </c>
      <c r="C7" s="7" t="s">
        <v>47</v>
      </c>
      <c r="D7" s="7" t="s">
        <v>533</v>
      </c>
      <c r="F7" s="32"/>
      <c r="G7" s="32"/>
      <c r="H7" s="32"/>
      <c r="I7" s="32"/>
      <c r="J7" s="32"/>
      <c r="K7" s="32"/>
      <c r="R7" s="2" t="s">
        <v>80</v>
      </c>
      <c r="S7" s="8" t="s">
        <v>113</v>
      </c>
    </row>
    <row r="8" spans="1:22" x14ac:dyDescent="0.25">
      <c r="A8" s="6">
        <v>46230</v>
      </c>
      <c r="B8" s="7" t="s">
        <v>660</v>
      </c>
      <c r="C8" s="7" t="s">
        <v>47</v>
      </c>
      <c r="D8" s="7" t="s">
        <v>56</v>
      </c>
      <c r="F8" s="2" t="s">
        <v>0</v>
      </c>
      <c r="G8" s="4">
        <v>46214</v>
      </c>
      <c r="H8" s="2" t="s">
        <v>2</v>
      </c>
      <c r="I8" s="1" t="s">
        <v>47</v>
      </c>
      <c r="J8" s="2" t="s">
        <v>11</v>
      </c>
      <c r="K8" s="1" t="s">
        <v>14</v>
      </c>
      <c r="R8" s="2" t="s">
        <v>81</v>
      </c>
      <c r="S8" s="8" t="s">
        <v>176</v>
      </c>
    </row>
    <row r="9" spans="1:22" x14ac:dyDescent="0.25">
      <c r="A9" s="6">
        <v>46230</v>
      </c>
      <c r="B9" s="7" t="s">
        <v>30</v>
      </c>
      <c r="C9" s="7" t="s">
        <v>31</v>
      </c>
      <c r="D9" s="7" t="s">
        <v>661</v>
      </c>
      <c r="F9" s="32" t="s">
        <v>499</v>
      </c>
      <c r="G9" s="32"/>
      <c r="H9" s="32"/>
      <c r="I9" s="32"/>
      <c r="J9" s="32"/>
      <c r="K9" s="32"/>
      <c r="R9" s="2" t="s">
        <v>82</v>
      </c>
      <c r="S9" s="10">
        <f>S10+S11</f>
        <v>0.69699999999999995</v>
      </c>
    </row>
    <row r="10" spans="1:22" x14ac:dyDescent="0.25">
      <c r="A10" s="6">
        <v>46239</v>
      </c>
      <c r="B10" s="7" t="s">
        <v>766</v>
      </c>
      <c r="C10" s="7" t="s">
        <v>22</v>
      </c>
      <c r="D10" s="7" t="s">
        <v>772</v>
      </c>
      <c r="F10" s="32"/>
      <c r="G10" s="32"/>
      <c r="H10" s="32"/>
      <c r="I10" s="32"/>
      <c r="J10" s="32"/>
      <c r="K10" s="32"/>
      <c r="R10" s="2" t="s">
        <v>83</v>
      </c>
      <c r="S10" s="10">
        <v>0.69699999999999995</v>
      </c>
    </row>
    <row r="11" spans="1:22" x14ac:dyDescent="0.25">
      <c r="A11" s="6">
        <v>46239</v>
      </c>
      <c r="B11" s="7" t="s">
        <v>768</v>
      </c>
      <c r="C11" s="7" t="s">
        <v>22</v>
      </c>
      <c r="D11" s="7" t="s">
        <v>56</v>
      </c>
      <c r="F11" s="2" t="s">
        <v>0</v>
      </c>
      <c r="G11" s="4">
        <v>46218</v>
      </c>
      <c r="H11" s="2" t="s">
        <v>2</v>
      </c>
      <c r="I11" s="1" t="s">
        <v>47</v>
      </c>
      <c r="J11" s="2" t="s">
        <v>11</v>
      </c>
      <c r="K11" s="1" t="s">
        <v>14</v>
      </c>
      <c r="R11" s="2" t="s">
        <v>84</v>
      </c>
      <c r="S11" s="10">
        <v>0</v>
      </c>
    </row>
    <row r="12" spans="1:22" ht="14.45" customHeight="1" x14ac:dyDescent="0.25">
      <c r="A12" s="6">
        <v>46252</v>
      </c>
      <c r="B12" s="7" t="s">
        <v>919</v>
      </c>
      <c r="C12" s="7" t="s">
        <v>920</v>
      </c>
      <c r="D12" s="7" t="s">
        <v>56</v>
      </c>
      <c r="F12" s="32" t="s">
        <v>532</v>
      </c>
      <c r="G12" s="32"/>
      <c r="H12" s="32"/>
      <c r="I12" s="32"/>
      <c r="J12" s="32"/>
      <c r="K12" s="32"/>
      <c r="R12" s="2" t="s">
        <v>115</v>
      </c>
      <c r="S12" s="8"/>
    </row>
    <row r="13" spans="1:22" x14ac:dyDescent="0.25">
      <c r="A13" s="6">
        <v>46255</v>
      </c>
      <c r="B13" s="7" t="s">
        <v>30</v>
      </c>
      <c r="C13" s="7" t="s">
        <v>31</v>
      </c>
      <c r="D13" s="7" t="s">
        <v>984</v>
      </c>
      <c r="F13" s="32"/>
      <c r="G13" s="32"/>
      <c r="H13" s="32"/>
      <c r="I13" s="32"/>
      <c r="J13" s="32"/>
      <c r="K13" s="32"/>
      <c r="R13" s="2" t="s">
        <v>11</v>
      </c>
      <c r="S13" s="8" t="s">
        <v>177</v>
      </c>
    </row>
    <row r="14" spans="1:22" x14ac:dyDescent="0.25">
      <c r="A14" s="6">
        <v>46266</v>
      </c>
      <c r="B14" s="7" t="s">
        <v>1031</v>
      </c>
      <c r="C14" s="7" t="s">
        <v>1033</v>
      </c>
      <c r="D14" s="7" t="s">
        <v>1036</v>
      </c>
      <c r="F14" s="32"/>
      <c r="G14" s="32"/>
      <c r="H14" s="32"/>
      <c r="I14" s="32"/>
      <c r="J14" s="32"/>
      <c r="K14" s="32"/>
      <c r="R14" s="2" t="s">
        <v>76</v>
      </c>
      <c r="S14" s="8" t="s">
        <v>178</v>
      </c>
    </row>
    <row r="15" spans="1:22" x14ac:dyDescent="0.25">
      <c r="A15" s="6">
        <v>46266</v>
      </c>
      <c r="B15" s="7" t="s">
        <v>1032</v>
      </c>
      <c r="C15" s="7" t="s">
        <v>31</v>
      </c>
      <c r="D15" s="7" t="s">
        <v>1037</v>
      </c>
      <c r="F15" s="2" t="s">
        <v>0</v>
      </c>
      <c r="G15" s="4">
        <v>46219</v>
      </c>
      <c r="H15" s="2" t="s">
        <v>2</v>
      </c>
      <c r="I15" s="1" t="s">
        <v>47</v>
      </c>
      <c r="J15" s="2" t="s">
        <v>11</v>
      </c>
      <c r="K15" s="1" t="s">
        <v>14</v>
      </c>
      <c r="R15" s="2" t="s">
        <v>77</v>
      </c>
      <c r="S15" s="8"/>
    </row>
    <row r="16" spans="1:22" x14ac:dyDescent="0.25">
      <c r="A16" s="6">
        <v>46266</v>
      </c>
      <c r="B16" s="7" t="s">
        <v>1043</v>
      </c>
      <c r="C16" s="7" t="s">
        <v>47</v>
      </c>
      <c r="D16" s="7" t="s">
        <v>1053</v>
      </c>
      <c r="F16" s="32" t="s">
        <v>549</v>
      </c>
      <c r="G16" s="32"/>
      <c r="H16" s="32"/>
      <c r="I16" s="32"/>
      <c r="J16" s="32"/>
      <c r="K16" s="32"/>
      <c r="R16" s="2" t="s">
        <v>78</v>
      </c>
      <c r="S16" s="8" t="s">
        <v>101</v>
      </c>
    </row>
    <row r="17" spans="1:19" x14ac:dyDescent="0.25">
      <c r="A17" s="6">
        <v>46272</v>
      </c>
      <c r="B17" s="7" t="s">
        <v>438</v>
      </c>
      <c r="C17" s="7" t="s">
        <v>439</v>
      </c>
      <c r="D17" s="7" t="s">
        <v>1029</v>
      </c>
      <c r="F17" s="32"/>
      <c r="G17" s="32"/>
      <c r="H17" s="32"/>
      <c r="I17" s="32"/>
      <c r="J17" s="32"/>
      <c r="K17" s="32"/>
      <c r="R17" s="2" t="s">
        <v>92</v>
      </c>
      <c r="S17" s="8" t="s">
        <v>144</v>
      </c>
    </row>
    <row r="18" spans="1:19" x14ac:dyDescent="0.25">
      <c r="A18" s="6">
        <v>46276</v>
      </c>
      <c r="B18" s="7" t="s">
        <v>1031</v>
      </c>
      <c r="C18" s="7" t="s">
        <v>15</v>
      </c>
      <c r="D18" s="7" t="s">
        <v>1140</v>
      </c>
      <c r="F18" s="32"/>
      <c r="G18" s="32"/>
      <c r="H18" s="32"/>
      <c r="I18" s="32"/>
      <c r="J18" s="32"/>
      <c r="K18" s="32"/>
      <c r="R18" s="2" t="s">
        <v>80</v>
      </c>
      <c r="S18" s="8" t="s">
        <v>113</v>
      </c>
    </row>
    <row r="19" spans="1:19" x14ac:dyDescent="0.25">
      <c r="A19" s="6">
        <v>46282</v>
      </c>
      <c r="B19" s="7" t="s">
        <v>1188</v>
      </c>
      <c r="C19" s="7" t="s">
        <v>15</v>
      </c>
      <c r="D19" s="7" t="s">
        <v>1189</v>
      </c>
      <c r="F19" s="2" t="s">
        <v>0</v>
      </c>
      <c r="G19" s="4">
        <v>46220</v>
      </c>
      <c r="H19" s="2" t="s">
        <v>2</v>
      </c>
      <c r="I19" s="1" t="s">
        <v>47</v>
      </c>
      <c r="J19" s="2" t="s">
        <v>11</v>
      </c>
      <c r="K19" s="1" t="s">
        <v>14</v>
      </c>
      <c r="R19" s="2" t="s">
        <v>81</v>
      </c>
      <c r="S19" s="8" t="s">
        <v>176</v>
      </c>
    </row>
    <row r="20" spans="1:19" x14ac:dyDescent="0.25">
      <c r="A20" s="6">
        <v>46286</v>
      </c>
      <c r="B20" s="7" t="s">
        <v>1031</v>
      </c>
      <c r="C20" s="7" t="s">
        <v>22</v>
      </c>
      <c r="D20" s="7" t="s">
        <v>1036</v>
      </c>
      <c r="F20" s="32" t="s">
        <v>563</v>
      </c>
      <c r="G20" s="32"/>
      <c r="H20" s="32"/>
      <c r="I20" s="32"/>
      <c r="J20" s="32"/>
      <c r="K20" s="32"/>
      <c r="R20" s="2" t="s">
        <v>82</v>
      </c>
      <c r="S20" s="10">
        <f>S21+S22</f>
        <v>0.1069</v>
      </c>
    </row>
    <row r="21" spans="1:19" x14ac:dyDescent="0.25">
      <c r="F21" s="32"/>
      <c r="G21" s="32"/>
      <c r="H21" s="32"/>
      <c r="I21" s="32"/>
      <c r="J21" s="32"/>
      <c r="K21" s="32"/>
      <c r="R21" s="2" t="s">
        <v>83</v>
      </c>
      <c r="S21" s="10">
        <v>0.1069</v>
      </c>
    </row>
    <row r="22" spans="1:19" x14ac:dyDescent="0.25">
      <c r="F22" s="2" t="s">
        <v>0</v>
      </c>
      <c r="G22" s="4">
        <v>46223</v>
      </c>
      <c r="H22" s="2" t="s">
        <v>2</v>
      </c>
      <c r="I22" s="1" t="s">
        <v>47</v>
      </c>
      <c r="J22" s="2" t="s">
        <v>11</v>
      </c>
      <c r="K22" s="1" t="s">
        <v>14</v>
      </c>
      <c r="R22" s="2" t="s">
        <v>84</v>
      </c>
      <c r="S22" s="10">
        <v>0</v>
      </c>
    </row>
    <row r="23" spans="1:19" ht="14.45" customHeight="1" x14ac:dyDescent="0.25">
      <c r="F23" s="32" t="s">
        <v>566</v>
      </c>
      <c r="G23" s="32"/>
      <c r="H23" s="32"/>
      <c r="I23" s="32"/>
      <c r="J23" s="32"/>
      <c r="K23" s="32"/>
      <c r="R23" s="2" t="s">
        <v>115</v>
      </c>
      <c r="S23" s="8"/>
    </row>
    <row r="24" spans="1:19" x14ac:dyDescent="0.25">
      <c r="F24" s="32"/>
      <c r="G24" s="32"/>
      <c r="H24" s="32"/>
      <c r="I24" s="32"/>
      <c r="J24" s="32"/>
      <c r="K24" s="32"/>
      <c r="R24" s="2" t="s">
        <v>85</v>
      </c>
      <c r="S24" s="10">
        <f>S21+S10</f>
        <v>0.80389999999999995</v>
      </c>
    </row>
    <row r="25" spans="1:19" x14ac:dyDescent="0.25">
      <c r="F25" s="32"/>
      <c r="G25" s="32"/>
      <c r="H25" s="32"/>
      <c r="I25" s="32"/>
      <c r="J25" s="32"/>
      <c r="K25" s="32"/>
      <c r="R25" s="2" t="s">
        <v>86</v>
      </c>
      <c r="S25" s="10">
        <f>S24*12.032</f>
        <v>9.6725247999999997</v>
      </c>
    </row>
    <row r="26" spans="1:19" x14ac:dyDescent="0.25">
      <c r="F26" s="32"/>
      <c r="G26" s="32"/>
      <c r="H26" s="32"/>
      <c r="I26" s="32"/>
      <c r="J26" s="32"/>
      <c r="K26" s="32"/>
    </row>
    <row r="27" spans="1:19" x14ac:dyDescent="0.25">
      <c r="F27" s="2" t="s">
        <v>0</v>
      </c>
      <c r="G27" s="4">
        <v>46227</v>
      </c>
      <c r="H27" s="2" t="s">
        <v>2</v>
      </c>
      <c r="I27" s="1" t="s">
        <v>350</v>
      </c>
      <c r="J27" s="2" t="s">
        <v>11</v>
      </c>
      <c r="K27" s="1" t="s">
        <v>14</v>
      </c>
    </row>
    <row r="28" spans="1:19" x14ac:dyDescent="0.25">
      <c r="F28" s="32" t="s">
        <v>632</v>
      </c>
      <c r="G28" s="32"/>
      <c r="H28" s="32"/>
      <c r="I28" s="32"/>
      <c r="J28" s="32"/>
      <c r="K28" s="32"/>
    </row>
    <row r="29" spans="1:19" x14ac:dyDescent="0.25">
      <c r="F29" s="32"/>
      <c r="G29" s="32"/>
      <c r="H29" s="32"/>
      <c r="I29" s="32"/>
      <c r="J29" s="32"/>
      <c r="K29" s="32"/>
    </row>
    <row r="30" spans="1:19" x14ac:dyDescent="0.25">
      <c r="F30" s="2" t="s">
        <v>0</v>
      </c>
      <c r="G30" s="4">
        <v>46230</v>
      </c>
      <c r="H30" s="2" t="s">
        <v>2</v>
      </c>
      <c r="I30" s="1" t="s">
        <v>47</v>
      </c>
      <c r="J30" s="2" t="s">
        <v>11</v>
      </c>
      <c r="K30" s="1" t="s">
        <v>14</v>
      </c>
    </row>
    <row r="31" spans="1:19" x14ac:dyDescent="0.25">
      <c r="F31" s="32" t="s">
        <v>637</v>
      </c>
      <c r="G31" s="32"/>
      <c r="H31" s="32"/>
      <c r="I31" s="32"/>
      <c r="J31" s="32"/>
      <c r="K31" s="32"/>
    </row>
    <row r="32" spans="1:19" x14ac:dyDescent="0.25">
      <c r="F32" s="32"/>
      <c r="G32" s="32"/>
      <c r="H32" s="32"/>
      <c r="I32" s="32"/>
      <c r="J32" s="32"/>
      <c r="K32" s="32"/>
    </row>
    <row r="33" spans="6:11" x14ac:dyDescent="0.25">
      <c r="F33" s="2" t="s">
        <v>0</v>
      </c>
      <c r="G33" s="4">
        <v>46238</v>
      </c>
      <c r="H33" s="2" t="s">
        <v>2</v>
      </c>
      <c r="I33" s="1" t="s">
        <v>35</v>
      </c>
      <c r="J33" s="2" t="s">
        <v>11</v>
      </c>
      <c r="K33" s="1" t="s">
        <v>14</v>
      </c>
    </row>
    <row r="34" spans="6:11" ht="14.45" customHeight="1" x14ac:dyDescent="0.25">
      <c r="F34" s="32" t="s">
        <v>753</v>
      </c>
      <c r="G34" s="32"/>
      <c r="H34" s="32"/>
      <c r="I34" s="32"/>
      <c r="J34" s="32"/>
      <c r="K34" s="32"/>
    </row>
    <row r="35" spans="6:11" x14ac:dyDescent="0.25">
      <c r="F35" s="32"/>
      <c r="G35" s="32"/>
      <c r="H35" s="32"/>
      <c r="I35" s="32"/>
      <c r="J35" s="32"/>
      <c r="K35" s="32"/>
    </row>
    <row r="36" spans="6:11" x14ac:dyDescent="0.25">
      <c r="F36" s="32"/>
      <c r="G36" s="32"/>
      <c r="H36" s="32"/>
      <c r="I36" s="32"/>
      <c r="J36" s="32"/>
      <c r="K36" s="32"/>
    </row>
    <row r="37" spans="6:11" x14ac:dyDescent="0.25">
      <c r="F37" s="32"/>
      <c r="G37" s="32"/>
      <c r="H37" s="32"/>
      <c r="I37" s="32"/>
      <c r="J37" s="32"/>
      <c r="K37" s="32"/>
    </row>
    <row r="38" spans="6:11" x14ac:dyDescent="0.25">
      <c r="F38" s="2" t="s">
        <v>0</v>
      </c>
      <c r="G38" s="4">
        <v>46239</v>
      </c>
      <c r="H38" s="2" t="s">
        <v>2</v>
      </c>
      <c r="I38" s="1" t="s">
        <v>22</v>
      </c>
      <c r="J38" s="2" t="s">
        <v>11</v>
      </c>
      <c r="K38" s="1" t="s">
        <v>14</v>
      </c>
    </row>
    <row r="39" spans="6:11" x14ac:dyDescent="0.25">
      <c r="F39" s="32" t="s">
        <v>773</v>
      </c>
      <c r="G39" s="32"/>
      <c r="H39" s="32"/>
      <c r="I39" s="32"/>
      <c r="J39" s="32"/>
      <c r="K39" s="32"/>
    </row>
    <row r="40" spans="6:11" x14ac:dyDescent="0.25">
      <c r="F40" s="32"/>
      <c r="G40" s="32"/>
      <c r="H40" s="32"/>
      <c r="I40" s="32"/>
      <c r="J40" s="32"/>
      <c r="K40" s="32"/>
    </row>
    <row r="41" spans="6:11" x14ac:dyDescent="0.25">
      <c r="F41" s="32"/>
      <c r="G41" s="32"/>
      <c r="H41" s="32"/>
      <c r="I41" s="32"/>
      <c r="J41" s="32"/>
      <c r="K41" s="32"/>
    </row>
    <row r="42" spans="6:11" x14ac:dyDescent="0.25">
      <c r="F42" s="32"/>
      <c r="G42" s="32"/>
      <c r="H42" s="32"/>
      <c r="I42" s="32"/>
      <c r="J42" s="32"/>
      <c r="K42" s="32"/>
    </row>
    <row r="43" spans="6:11" x14ac:dyDescent="0.25">
      <c r="F43" s="2" t="s">
        <v>0</v>
      </c>
      <c r="G43" s="4">
        <v>46246</v>
      </c>
      <c r="H43" s="2" t="s">
        <v>2</v>
      </c>
      <c r="I43" s="1" t="s">
        <v>47</v>
      </c>
      <c r="J43" s="2" t="s">
        <v>11</v>
      </c>
      <c r="K43" s="1" t="s">
        <v>14</v>
      </c>
    </row>
    <row r="44" spans="6:11" x14ac:dyDescent="0.25">
      <c r="F44" s="32" t="s">
        <v>881</v>
      </c>
      <c r="G44" s="32"/>
      <c r="H44" s="32"/>
      <c r="I44" s="32"/>
      <c r="J44" s="32"/>
      <c r="K44" s="32"/>
    </row>
    <row r="45" spans="6:11" x14ac:dyDescent="0.25">
      <c r="F45" s="32"/>
      <c r="G45" s="32"/>
      <c r="H45" s="32"/>
      <c r="I45" s="32"/>
      <c r="J45" s="32"/>
      <c r="K45" s="32"/>
    </row>
    <row r="46" spans="6:11" x14ac:dyDescent="0.25">
      <c r="F46" s="32"/>
      <c r="G46" s="32"/>
      <c r="H46" s="32"/>
      <c r="I46" s="32"/>
      <c r="J46" s="32"/>
      <c r="K46" s="32"/>
    </row>
    <row r="47" spans="6:11" x14ac:dyDescent="0.25">
      <c r="F47" s="32"/>
      <c r="G47" s="32"/>
      <c r="H47" s="32"/>
      <c r="I47" s="32"/>
      <c r="J47" s="32"/>
      <c r="K47" s="32"/>
    </row>
    <row r="48" spans="6:11" x14ac:dyDescent="0.25">
      <c r="F48" s="2" t="s">
        <v>0</v>
      </c>
      <c r="G48" s="4">
        <v>46253</v>
      </c>
      <c r="H48" s="2" t="s">
        <v>2</v>
      </c>
      <c r="I48" s="1" t="s">
        <v>47</v>
      </c>
      <c r="J48" s="2" t="s">
        <v>11</v>
      </c>
      <c r="K48" s="1" t="s">
        <v>14</v>
      </c>
    </row>
    <row r="49" spans="6:11" x14ac:dyDescent="0.25">
      <c r="F49" s="32" t="s">
        <v>931</v>
      </c>
      <c r="G49" s="32"/>
      <c r="H49" s="32"/>
      <c r="I49" s="32"/>
      <c r="J49" s="32"/>
      <c r="K49" s="32"/>
    </row>
    <row r="50" spans="6:11" x14ac:dyDescent="0.25">
      <c r="F50" s="32"/>
      <c r="G50" s="32"/>
      <c r="H50" s="32"/>
      <c r="I50" s="32"/>
      <c r="J50" s="32"/>
      <c r="K50" s="32"/>
    </row>
    <row r="51" spans="6:11" x14ac:dyDescent="0.25">
      <c r="F51" s="32"/>
      <c r="G51" s="32"/>
      <c r="H51" s="32"/>
      <c r="I51" s="32"/>
      <c r="J51" s="32"/>
      <c r="K51" s="32"/>
    </row>
    <row r="52" spans="6:11" x14ac:dyDescent="0.25">
      <c r="F52" s="32"/>
      <c r="G52" s="32"/>
      <c r="H52" s="32"/>
      <c r="I52" s="32"/>
      <c r="J52" s="32"/>
      <c r="K52" s="32"/>
    </row>
    <row r="53" spans="6:11" x14ac:dyDescent="0.25">
      <c r="F53" s="2" t="s">
        <v>0</v>
      </c>
      <c r="G53" s="4">
        <v>46265</v>
      </c>
      <c r="H53" s="2" t="s">
        <v>2</v>
      </c>
      <c r="I53" s="1" t="s">
        <v>35</v>
      </c>
      <c r="J53" s="2" t="s">
        <v>11</v>
      </c>
      <c r="K53" s="1" t="s">
        <v>14</v>
      </c>
    </row>
    <row r="54" spans="6:11" ht="14.45" customHeight="1" x14ac:dyDescent="0.25">
      <c r="F54" s="32" t="s">
        <v>1023</v>
      </c>
      <c r="G54" s="32"/>
      <c r="H54" s="32"/>
      <c r="I54" s="32"/>
      <c r="J54" s="32"/>
      <c r="K54" s="32"/>
    </row>
    <row r="55" spans="6:11" x14ac:dyDescent="0.25">
      <c r="F55" s="32"/>
      <c r="G55" s="32"/>
      <c r="H55" s="32"/>
      <c r="I55" s="32"/>
      <c r="J55" s="32"/>
      <c r="K55" s="32"/>
    </row>
    <row r="56" spans="6:11" x14ac:dyDescent="0.25">
      <c r="F56" s="32"/>
      <c r="G56" s="32"/>
      <c r="H56" s="32"/>
      <c r="I56" s="32"/>
      <c r="J56" s="32"/>
      <c r="K56" s="32"/>
    </row>
    <row r="57" spans="6:11" x14ac:dyDescent="0.25">
      <c r="F57" s="32"/>
      <c r="G57" s="32"/>
      <c r="H57" s="32"/>
      <c r="I57" s="32"/>
      <c r="J57" s="32"/>
      <c r="K57" s="32"/>
    </row>
    <row r="58" spans="6:11" x14ac:dyDescent="0.25">
      <c r="F58" s="32"/>
      <c r="G58" s="32"/>
      <c r="H58" s="32"/>
      <c r="I58" s="32"/>
      <c r="J58" s="32"/>
      <c r="K58" s="32"/>
    </row>
    <row r="59" spans="6:11" x14ac:dyDescent="0.25">
      <c r="F59" s="32"/>
      <c r="G59" s="32"/>
      <c r="H59" s="32"/>
      <c r="I59" s="32"/>
      <c r="J59" s="32"/>
      <c r="K59" s="32"/>
    </row>
    <row r="60" spans="6:11" x14ac:dyDescent="0.25">
      <c r="F60" s="2" t="s">
        <v>0</v>
      </c>
      <c r="G60" s="4">
        <v>46266</v>
      </c>
      <c r="H60" s="2" t="s">
        <v>2</v>
      </c>
      <c r="I60" s="1" t="s">
        <v>22</v>
      </c>
      <c r="J60" s="2" t="s">
        <v>11</v>
      </c>
      <c r="K60" s="1" t="s">
        <v>14</v>
      </c>
    </row>
    <row r="61" spans="6:11" x14ac:dyDescent="0.25">
      <c r="F61" s="45" t="s">
        <v>1038</v>
      </c>
      <c r="G61" s="45"/>
      <c r="H61" s="45"/>
      <c r="I61" s="45"/>
      <c r="J61" s="45"/>
      <c r="K61" s="45"/>
    </row>
    <row r="62" spans="6:11" x14ac:dyDescent="0.25">
      <c r="F62" s="2" t="s">
        <v>0</v>
      </c>
      <c r="G62" s="4">
        <v>46276</v>
      </c>
      <c r="H62" s="2" t="s">
        <v>2</v>
      </c>
      <c r="I62" s="1" t="s">
        <v>15</v>
      </c>
      <c r="J62" s="2" t="s">
        <v>11</v>
      </c>
      <c r="K62" s="1" t="s">
        <v>14</v>
      </c>
    </row>
    <row r="63" spans="6:11" x14ac:dyDescent="0.25">
      <c r="F63" s="37" t="s">
        <v>1141</v>
      </c>
      <c r="G63" s="37"/>
      <c r="H63" s="37"/>
      <c r="I63" s="37"/>
      <c r="J63" s="37"/>
      <c r="K63" s="37"/>
    </row>
    <row r="64" spans="6:11" x14ac:dyDescent="0.25">
      <c r="F64" s="37"/>
      <c r="G64" s="37"/>
      <c r="H64" s="37"/>
      <c r="I64" s="37"/>
      <c r="J64" s="37"/>
      <c r="K64" s="37"/>
    </row>
    <row r="65" spans="6:11" x14ac:dyDescent="0.25">
      <c r="F65" s="37"/>
      <c r="G65" s="37"/>
      <c r="H65" s="37"/>
      <c r="I65" s="37"/>
      <c r="J65" s="37"/>
      <c r="K65" s="37"/>
    </row>
    <row r="66" spans="6:11" x14ac:dyDescent="0.25">
      <c r="F66" s="2" t="s">
        <v>0</v>
      </c>
      <c r="G66" s="4">
        <v>46282</v>
      </c>
      <c r="H66" s="2" t="s">
        <v>2</v>
      </c>
      <c r="I66" s="1" t="s">
        <v>47</v>
      </c>
      <c r="J66" s="2" t="s">
        <v>11</v>
      </c>
      <c r="K66" s="1" t="s">
        <v>14</v>
      </c>
    </row>
    <row r="67" spans="6:11" ht="14.45" customHeight="1" x14ac:dyDescent="0.25">
      <c r="F67" s="37" t="s">
        <v>1187</v>
      </c>
      <c r="G67" s="37"/>
      <c r="H67" s="37"/>
      <c r="I67" s="37"/>
      <c r="J67" s="37"/>
      <c r="K67" s="37"/>
    </row>
    <row r="68" spans="6:11" x14ac:dyDescent="0.25">
      <c r="F68" s="37"/>
      <c r="G68" s="37"/>
      <c r="H68" s="37"/>
      <c r="I68" s="37"/>
      <c r="J68" s="37"/>
      <c r="K68" s="37"/>
    </row>
    <row r="69" spans="6:11" x14ac:dyDescent="0.25">
      <c r="F69" s="37"/>
      <c r="G69" s="37"/>
      <c r="H69" s="37"/>
      <c r="I69" s="37"/>
      <c r="J69" s="37"/>
      <c r="K69" s="37"/>
    </row>
    <row r="70" spans="6:11" x14ac:dyDescent="0.25">
      <c r="F70" s="37"/>
      <c r="G70" s="37"/>
      <c r="H70" s="37"/>
      <c r="I70" s="37"/>
      <c r="J70" s="37"/>
      <c r="K70" s="37"/>
    </row>
    <row r="71" spans="6:11" x14ac:dyDescent="0.25">
      <c r="F71" s="37"/>
      <c r="G71" s="37"/>
      <c r="H71" s="37"/>
      <c r="I71" s="37"/>
      <c r="J71" s="37"/>
      <c r="K71" s="37"/>
    </row>
    <row r="72" spans="6:11" x14ac:dyDescent="0.25">
      <c r="F72" s="2" t="s">
        <v>0</v>
      </c>
      <c r="G72" s="4">
        <v>46286</v>
      </c>
      <c r="H72" s="2" t="s">
        <v>2</v>
      </c>
      <c r="I72" s="1" t="s">
        <v>22</v>
      </c>
      <c r="J72" s="2" t="s">
        <v>11</v>
      </c>
      <c r="K72" s="1" t="s">
        <v>14</v>
      </c>
    </row>
    <row r="73" spans="6:11" x14ac:dyDescent="0.25">
      <c r="F73" s="45" t="s">
        <v>637</v>
      </c>
      <c r="G73" s="45"/>
      <c r="H73" s="45"/>
      <c r="I73" s="45"/>
      <c r="J73" s="45"/>
      <c r="K73" s="45"/>
    </row>
    <row r="74" spans="6:11" x14ac:dyDescent="0.25">
      <c r="F74" s="2" t="s">
        <v>0</v>
      </c>
      <c r="G74" s="4">
        <v>46287</v>
      </c>
      <c r="H74" s="2" t="s">
        <v>2</v>
      </c>
      <c r="I74" s="1" t="s">
        <v>47</v>
      </c>
      <c r="J74" s="2" t="s">
        <v>11</v>
      </c>
      <c r="K74" s="1" t="s">
        <v>14</v>
      </c>
    </row>
    <row r="75" spans="6:11" x14ac:dyDescent="0.25">
      <c r="F75" s="45" t="s">
        <v>1238</v>
      </c>
      <c r="G75" s="45"/>
      <c r="H75" s="45"/>
      <c r="I75" s="45"/>
      <c r="J75" s="45"/>
      <c r="K75" s="45"/>
    </row>
  </sheetData>
  <mergeCells count="23">
    <mergeCell ref="F31:K32"/>
    <mergeCell ref="F28:K29"/>
    <mergeCell ref="U1:V1"/>
    <mergeCell ref="F6:K7"/>
    <mergeCell ref="R1:S1"/>
    <mergeCell ref="F3:K4"/>
    <mergeCell ref="F1:K1"/>
    <mergeCell ref="M1:P1"/>
    <mergeCell ref="F16:K18"/>
    <mergeCell ref="F20:K21"/>
    <mergeCell ref="F23:K26"/>
    <mergeCell ref="F12:K14"/>
    <mergeCell ref="F9:K10"/>
    <mergeCell ref="F44:K47"/>
    <mergeCell ref="F39:K42"/>
    <mergeCell ref="F63:K65"/>
    <mergeCell ref="F61:K61"/>
    <mergeCell ref="F34:K37"/>
    <mergeCell ref="F75:K75"/>
    <mergeCell ref="F73:K73"/>
    <mergeCell ref="F67:K71"/>
    <mergeCell ref="F54:K59"/>
    <mergeCell ref="F49:K5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F4DA4-8A91-46CF-8AC4-2A0C9CD6EC7D}">
  <dimension ref="A1:T14"/>
  <sheetViews>
    <sheetView workbookViewId="0">
      <selection activeCell="I14" sqref="I14"/>
    </sheetView>
  </sheetViews>
  <sheetFormatPr baseColWidth="10" defaultRowHeight="15" x14ac:dyDescent="0.25"/>
  <cols>
    <col min="1" max="4" width="11.5703125" style="1"/>
    <col min="16" max="16" width="21.28515625" bestFit="1" customWidth="1"/>
    <col min="17" max="17" width="15.28515625" bestFit="1" customWidth="1"/>
    <col min="19" max="19" width="11.5703125" style="7"/>
    <col min="20" max="20" width="15" style="7" bestFit="1" customWidth="1"/>
  </cols>
  <sheetData>
    <row r="1" spans="1:20" x14ac:dyDescent="0.25">
      <c r="A1" s="3" t="s">
        <v>0</v>
      </c>
      <c r="B1" s="3" t="s">
        <v>1</v>
      </c>
      <c r="C1" s="3" t="s">
        <v>2</v>
      </c>
      <c r="D1" s="3" t="s">
        <v>3</v>
      </c>
      <c r="F1" s="36" t="s">
        <v>4</v>
      </c>
      <c r="G1" s="36"/>
      <c r="H1" s="36"/>
      <c r="I1" s="36"/>
      <c r="K1" s="34" t="s">
        <v>5</v>
      </c>
      <c r="L1" s="38"/>
      <c r="M1" s="38"/>
      <c r="N1" s="35"/>
      <c r="P1" s="34" t="s">
        <v>7</v>
      </c>
      <c r="Q1" s="35"/>
      <c r="S1" s="33" t="s">
        <v>87</v>
      </c>
      <c r="T1" s="33"/>
    </row>
    <row r="2" spans="1:20" x14ac:dyDescent="0.25">
      <c r="F2" s="2" t="s">
        <v>0</v>
      </c>
      <c r="G2" s="1"/>
      <c r="H2" s="2" t="s">
        <v>2</v>
      </c>
      <c r="I2" s="1"/>
      <c r="K2" s="2" t="s">
        <v>0</v>
      </c>
      <c r="L2" s="1"/>
      <c r="M2" s="2" t="s">
        <v>6</v>
      </c>
      <c r="N2" s="1"/>
      <c r="P2" s="2" t="s">
        <v>11</v>
      </c>
      <c r="Q2" s="8" t="s">
        <v>179</v>
      </c>
      <c r="S2" s="3" t="s">
        <v>0</v>
      </c>
      <c r="T2" s="3" t="s">
        <v>88</v>
      </c>
    </row>
    <row r="3" spans="1:20" x14ac:dyDescent="0.25">
      <c r="P3" s="2" t="s">
        <v>76</v>
      </c>
      <c r="Q3" s="8"/>
    </row>
    <row r="4" spans="1:20" x14ac:dyDescent="0.25">
      <c r="P4" s="2" t="s">
        <v>77</v>
      </c>
      <c r="Q4" s="8"/>
    </row>
    <row r="5" spans="1:20" x14ac:dyDescent="0.25">
      <c r="P5" s="2" t="s">
        <v>78</v>
      </c>
      <c r="Q5" s="8" t="s">
        <v>101</v>
      </c>
    </row>
    <row r="6" spans="1:20" x14ac:dyDescent="0.25">
      <c r="P6" s="2" t="s">
        <v>92</v>
      </c>
      <c r="Q6" s="8" t="s">
        <v>180</v>
      </c>
    </row>
    <row r="7" spans="1:20" x14ac:dyDescent="0.25">
      <c r="P7" s="2" t="s">
        <v>80</v>
      </c>
      <c r="Q7" s="8" t="s">
        <v>113</v>
      </c>
    </row>
    <row r="8" spans="1:20" x14ac:dyDescent="0.25">
      <c r="P8" s="2" t="s">
        <v>81</v>
      </c>
      <c r="Q8" s="8" t="s">
        <v>93</v>
      </c>
    </row>
    <row r="9" spans="1:20" x14ac:dyDescent="0.25">
      <c r="P9" s="2" t="s">
        <v>82</v>
      </c>
      <c r="Q9" s="10">
        <f>Q10+Q11</f>
        <v>0.16622340425531915</v>
      </c>
    </row>
    <row r="10" spans="1:20" x14ac:dyDescent="0.25">
      <c r="P10" s="2" t="s">
        <v>83</v>
      </c>
      <c r="Q10" s="10">
        <f>Q13</f>
        <v>0.16622340425531915</v>
      </c>
    </row>
    <row r="11" spans="1:20" x14ac:dyDescent="0.25">
      <c r="P11" s="2" t="s">
        <v>84</v>
      </c>
      <c r="Q11" s="10">
        <v>0</v>
      </c>
    </row>
    <row r="12" spans="1:20" x14ac:dyDescent="0.25">
      <c r="P12" s="2" t="s">
        <v>115</v>
      </c>
      <c r="Q12" s="8"/>
    </row>
    <row r="13" spans="1:20" x14ac:dyDescent="0.25">
      <c r="P13" s="2" t="s">
        <v>85</v>
      </c>
      <c r="Q13" s="10">
        <f>Q14/12.032</f>
        <v>0.16622340425531915</v>
      </c>
    </row>
    <row r="14" spans="1:20" x14ac:dyDescent="0.25">
      <c r="P14" s="2" t="s">
        <v>86</v>
      </c>
      <c r="Q14" s="10">
        <v>2</v>
      </c>
    </row>
  </sheetData>
  <mergeCells count="4">
    <mergeCell ref="F1:I1"/>
    <mergeCell ref="K1:N1"/>
    <mergeCell ref="P1:Q1"/>
    <mergeCell ref="S1:T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D41FD-DD9F-4F0A-A6F6-979EEEC930C8}">
  <dimension ref="A1:V74"/>
  <sheetViews>
    <sheetView topLeftCell="A12" workbookViewId="0">
      <selection activeCell="F34" sqref="F34:K39"/>
    </sheetView>
  </sheetViews>
  <sheetFormatPr baseColWidth="10" defaultRowHeight="15" x14ac:dyDescent="0.25"/>
  <cols>
    <col min="1" max="1" width="11.5703125" style="7"/>
    <col min="2" max="2" width="27" style="7" bestFit="1" customWidth="1"/>
    <col min="3" max="3" width="11.5703125" style="7"/>
    <col min="4" max="4" width="25.7109375" style="7" bestFit="1" customWidth="1"/>
    <col min="18" max="18" width="21.28515625" bestFit="1" customWidth="1"/>
    <col min="19" max="19" width="21.8554687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ht="14.45" customHeight="1" x14ac:dyDescent="0.25">
      <c r="A2" s="6">
        <v>46202</v>
      </c>
      <c r="B2" s="7" t="s">
        <v>336</v>
      </c>
      <c r="C2" s="7" t="s">
        <v>31</v>
      </c>
      <c r="D2" s="7" t="s">
        <v>337</v>
      </c>
      <c r="F2" s="2" t="s">
        <v>0</v>
      </c>
      <c r="G2" s="4">
        <v>46196</v>
      </c>
      <c r="H2" s="2" t="s">
        <v>2</v>
      </c>
      <c r="I2" s="1" t="s">
        <v>47</v>
      </c>
      <c r="J2" s="2" t="s">
        <v>11</v>
      </c>
      <c r="K2" s="1" t="s">
        <v>14</v>
      </c>
      <c r="M2" s="2" t="s">
        <v>0</v>
      </c>
      <c r="N2" s="1"/>
      <c r="O2" s="2" t="s">
        <v>6</v>
      </c>
      <c r="P2" s="1"/>
      <c r="R2" s="2" t="s">
        <v>11</v>
      </c>
      <c r="S2" s="8" t="s">
        <v>181</v>
      </c>
      <c r="U2" s="3" t="s">
        <v>0</v>
      </c>
      <c r="V2" s="3" t="s">
        <v>88</v>
      </c>
    </row>
    <row r="3" spans="1:22" x14ac:dyDescent="0.25">
      <c r="A3" s="6">
        <v>46211</v>
      </c>
      <c r="B3" s="7" t="s">
        <v>438</v>
      </c>
      <c r="C3" s="7" t="s">
        <v>454</v>
      </c>
      <c r="D3" s="7" t="s">
        <v>345</v>
      </c>
      <c r="F3" s="32" t="s">
        <v>57</v>
      </c>
      <c r="G3" s="32"/>
      <c r="H3" s="32"/>
      <c r="I3" s="32"/>
      <c r="J3" s="32"/>
      <c r="K3" s="32"/>
      <c r="R3" s="2" t="s">
        <v>76</v>
      </c>
      <c r="S3" s="8" t="s">
        <v>182</v>
      </c>
    </row>
    <row r="4" spans="1:22" x14ac:dyDescent="0.25">
      <c r="A4" s="6">
        <v>46231</v>
      </c>
      <c r="B4" s="7" t="s">
        <v>670</v>
      </c>
      <c r="C4" s="7" t="s">
        <v>47</v>
      </c>
      <c r="D4" s="7" t="s">
        <v>677</v>
      </c>
      <c r="F4" s="32"/>
      <c r="G4" s="32"/>
      <c r="H4" s="32"/>
      <c r="I4" s="32"/>
      <c r="J4" s="32"/>
      <c r="K4" s="32"/>
      <c r="R4" s="2" t="s">
        <v>77</v>
      </c>
      <c r="S4" s="8"/>
    </row>
    <row r="5" spans="1:22" x14ac:dyDescent="0.25">
      <c r="A5" s="6">
        <v>46233</v>
      </c>
      <c r="B5" s="7" t="s">
        <v>30</v>
      </c>
      <c r="C5" s="7" t="s">
        <v>31</v>
      </c>
      <c r="D5" s="7" t="s">
        <v>696</v>
      </c>
      <c r="F5" s="2" t="s">
        <v>0</v>
      </c>
      <c r="G5" s="4">
        <v>46206</v>
      </c>
      <c r="H5" s="2" t="s">
        <v>2</v>
      </c>
      <c r="I5" s="1" t="s">
        <v>47</v>
      </c>
      <c r="J5" s="2" t="s">
        <v>11</v>
      </c>
      <c r="K5" s="1" t="s">
        <v>14</v>
      </c>
      <c r="R5" s="2" t="s">
        <v>78</v>
      </c>
      <c r="S5" s="8" t="s">
        <v>101</v>
      </c>
    </row>
    <row r="6" spans="1:22" ht="14.45" customHeight="1" x14ac:dyDescent="0.25">
      <c r="A6" s="6">
        <v>46241</v>
      </c>
      <c r="B6" s="7" t="s">
        <v>799</v>
      </c>
      <c r="C6" s="7" t="s">
        <v>22</v>
      </c>
      <c r="D6" s="7" t="s">
        <v>809</v>
      </c>
      <c r="F6" s="32" t="s">
        <v>407</v>
      </c>
      <c r="G6" s="32"/>
      <c r="H6" s="32"/>
      <c r="I6" s="32"/>
      <c r="J6" s="32"/>
      <c r="K6" s="32"/>
      <c r="R6" s="2" t="s">
        <v>92</v>
      </c>
      <c r="S6" s="8" t="s">
        <v>183</v>
      </c>
    </row>
    <row r="7" spans="1:22" x14ac:dyDescent="0.25">
      <c r="A7" s="6">
        <v>46241</v>
      </c>
      <c r="B7" s="7" t="s">
        <v>799</v>
      </c>
      <c r="C7" s="7" t="s">
        <v>22</v>
      </c>
      <c r="D7" s="7" t="s">
        <v>810</v>
      </c>
      <c r="F7" s="32"/>
      <c r="G7" s="32"/>
      <c r="H7" s="32"/>
      <c r="I7" s="32"/>
      <c r="J7" s="32"/>
      <c r="K7" s="32"/>
      <c r="R7" s="2" t="s">
        <v>80</v>
      </c>
      <c r="S7" s="8" t="s">
        <v>113</v>
      </c>
    </row>
    <row r="8" spans="1:22" x14ac:dyDescent="0.25">
      <c r="A8" s="6">
        <v>46268</v>
      </c>
      <c r="B8" s="7" t="s">
        <v>1076</v>
      </c>
      <c r="C8" s="7" t="s">
        <v>31</v>
      </c>
      <c r="D8" s="7" t="s">
        <v>1077</v>
      </c>
      <c r="F8" s="32"/>
      <c r="G8" s="32"/>
      <c r="H8" s="32"/>
      <c r="I8" s="32"/>
      <c r="J8" s="32"/>
      <c r="K8" s="32"/>
      <c r="R8" s="2" t="s">
        <v>81</v>
      </c>
      <c r="S8" s="8"/>
    </row>
    <row r="9" spans="1:22" x14ac:dyDescent="0.25">
      <c r="A9" s="6">
        <v>46268</v>
      </c>
      <c r="B9" s="7" t="s">
        <v>862</v>
      </c>
      <c r="C9" s="7" t="s">
        <v>385</v>
      </c>
      <c r="D9" s="7" t="s">
        <v>45</v>
      </c>
      <c r="F9" s="32"/>
      <c r="G9" s="32"/>
      <c r="H9" s="32"/>
      <c r="I9" s="32"/>
      <c r="J9" s="32"/>
      <c r="K9" s="32"/>
      <c r="R9" s="2" t="s">
        <v>82</v>
      </c>
      <c r="S9" s="8">
        <f>S10+S11</f>
        <v>0.22570000000000001</v>
      </c>
    </row>
    <row r="10" spans="1:22" x14ac:dyDescent="0.25">
      <c r="A10" s="6">
        <v>46274</v>
      </c>
      <c r="B10" s="7" t="s">
        <v>343</v>
      </c>
      <c r="C10" s="7" t="s">
        <v>344</v>
      </c>
      <c r="D10" s="7" t="s">
        <v>1029</v>
      </c>
      <c r="F10" s="2" t="s">
        <v>0</v>
      </c>
      <c r="G10" s="4">
        <v>46210</v>
      </c>
      <c r="H10" s="2" t="s">
        <v>2</v>
      </c>
      <c r="I10" s="1" t="s">
        <v>418</v>
      </c>
      <c r="J10" s="2" t="s">
        <v>11</v>
      </c>
      <c r="K10" s="1" t="s">
        <v>14</v>
      </c>
      <c r="R10" s="2" t="s">
        <v>83</v>
      </c>
      <c r="S10" s="10">
        <v>0.22</v>
      </c>
    </row>
    <row r="11" spans="1:22" x14ac:dyDescent="0.25">
      <c r="A11" s="6">
        <v>46283</v>
      </c>
      <c r="B11" s="7" t="s">
        <v>1211</v>
      </c>
      <c r="C11" s="7" t="s">
        <v>47</v>
      </c>
      <c r="D11" s="7" t="s">
        <v>56</v>
      </c>
      <c r="F11" s="32" t="s">
        <v>451</v>
      </c>
      <c r="G11" s="32"/>
      <c r="H11" s="32"/>
      <c r="I11" s="32"/>
      <c r="J11" s="32"/>
      <c r="K11" s="32"/>
      <c r="R11" s="2" t="s">
        <v>84</v>
      </c>
      <c r="S11" s="10">
        <v>5.7000000000000002E-3</v>
      </c>
    </row>
    <row r="12" spans="1:22" x14ac:dyDescent="0.25">
      <c r="A12" s="6">
        <v>46283</v>
      </c>
      <c r="B12" s="7" t="s">
        <v>1212</v>
      </c>
      <c r="C12" s="7" t="s">
        <v>588</v>
      </c>
      <c r="D12" s="7" t="s">
        <v>1213</v>
      </c>
      <c r="F12" s="32"/>
      <c r="G12" s="32"/>
      <c r="H12" s="32"/>
      <c r="I12" s="32"/>
      <c r="J12" s="32"/>
      <c r="K12" s="32"/>
      <c r="R12" s="2" t="s">
        <v>115</v>
      </c>
      <c r="S12" s="8"/>
    </row>
    <row r="13" spans="1:22" x14ac:dyDescent="0.25">
      <c r="A13" s="6">
        <v>46288</v>
      </c>
      <c r="B13" s="7" t="s">
        <v>1241</v>
      </c>
      <c r="C13" s="7" t="s">
        <v>1033</v>
      </c>
      <c r="D13" s="7" t="s">
        <v>1243</v>
      </c>
      <c r="F13" s="2" t="s">
        <v>0</v>
      </c>
      <c r="G13" s="4">
        <v>46231</v>
      </c>
      <c r="H13" s="2" t="s">
        <v>2</v>
      </c>
      <c r="I13" s="1" t="s">
        <v>47</v>
      </c>
      <c r="J13" s="2" t="s">
        <v>11</v>
      </c>
      <c r="K13" s="1" t="s">
        <v>14</v>
      </c>
      <c r="R13" s="2" t="s">
        <v>11</v>
      </c>
      <c r="S13" s="8" t="s">
        <v>184</v>
      </c>
    </row>
    <row r="14" spans="1:22" ht="14.45" customHeight="1" x14ac:dyDescent="0.25">
      <c r="A14" s="6">
        <v>46288</v>
      </c>
      <c r="B14" s="7" t="s">
        <v>398</v>
      </c>
      <c r="C14" s="7" t="s">
        <v>1033</v>
      </c>
      <c r="D14" s="7" t="s">
        <v>1242</v>
      </c>
      <c r="F14" s="32" t="s">
        <v>678</v>
      </c>
      <c r="G14" s="32"/>
      <c r="H14" s="32"/>
      <c r="I14" s="32"/>
      <c r="J14" s="32"/>
      <c r="K14" s="32"/>
      <c r="R14" s="2" t="s">
        <v>76</v>
      </c>
      <c r="S14" s="8" t="s">
        <v>186</v>
      </c>
    </row>
    <row r="15" spans="1:22" x14ac:dyDescent="0.25">
      <c r="A15" s="6">
        <v>46288</v>
      </c>
      <c r="B15" s="7" t="s">
        <v>1244</v>
      </c>
      <c r="C15" s="7" t="s">
        <v>47</v>
      </c>
      <c r="D15" s="7" t="s">
        <v>1243</v>
      </c>
      <c r="F15" s="32"/>
      <c r="G15" s="32"/>
      <c r="H15" s="32"/>
      <c r="I15" s="32"/>
      <c r="J15" s="32"/>
      <c r="K15" s="32"/>
      <c r="R15" s="2" t="s">
        <v>77</v>
      </c>
      <c r="S15" s="8"/>
    </row>
    <row r="16" spans="1:22" x14ac:dyDescent="0.25">
      <c r="A16" s="6">
        <v>46288</v>
      </c>
      <c r="B16" s="7" t="s">
        <v>1245</v>
      </c>
      <c r="C16" s="7" t="s">
        <v>47</v>
      </c>
      <c r="D16" s="7" t="s">
        <v>1243</v>
      </c>
      <c r="F16" s="32"/>
      <c r="G16" s="32"/>
      <c r="H16" s="32"/>
      <c r="I16" s="32"/>
      <c r="J16" s="32"/>
      <c r="K16" s="32"/>
      <c r="R16" s="2" t="s">
        <v>78</v>
      </c>
      <c r="S16" s="8" t="s">
        <v>101</v>
      </c>
    </row>
    <row r="17" spans="1:19" x14ac:dyDescent="0.25">
      <c r="A17" s="6">
        <v>46289</v>
      </c>
      <c r="B17" s="7" t="s">
        <v>420</v>
      </c>
      <c r="C17" s="7" t="s">
        <v>22</v>
      </c>
      <c r="D17" s="7" t="s">
        <v>1255</v>
      </c>
      <c r="F17" s="32"/>
      <c r="G17" s="32"/>
      <c r="H17" s="32"/>
      <c r="I17" s="32"/>
      <c r="J17" s="32"/>
      <c r="K17" s="32"/>
      <c r="R17" s="2" t="s">
        <v>92</v>
      </c>
      <c r="S17" s="8" t="s">
        <v>187</v>
      </c>
    </row>
    <row r="18" spans="1:19" x14ac:dyDescent="0.25">
      <c r="A18" s="6">
        <v>46289</v>
      </c>
      <c r="B18" s="7" t="s">
        <v>1256</v>
      </c>
      <c r="C18" s="7" t="s">
        <v>22</v>
      </c>
      <c r="D18" s="7" t="s">
        <v>1243</v>
      </c>
      <c r="F18" s="2" t="s">
        <v>0</v>
      </c>
      <c r="G18" s="4">
        <v>46241</v>
      </c>
      <c r="H18" s="2" t="s">
        <v>2</v>
      </c>
      <c r="I18" s="1" t="s">
        <v>357</v>
      </c>
      <c r="J18" s="2" t="s">
        <v>11</v>
      </c>
      <c r="K18" s="1" t="s">
        <v>14</v>
      </c>
      <c r="R18" s="2" t="s">
        <v>80</v>
      </c>
      <c r="S18" s="8" t="s">
        <v>148</v>
      </c>
    </row>
    <row r="19" spans="1:19" ht="14.45" customHeight="1" x14ac:dyDescent="0.25">
      <c r="F19" s="32" t="s">
        <v>811</v>
      </c>
      <c r="G19" s="32"/>
      <c r="H19" s="32"/>
      <c r="I19" s="32"/>
      <c r="J19" s="32"/>
      <c r="K19" s="32"/>
      <c r="R19" s="2" t="s">
        <v>81</v>
      </c>
      <c r="S19" s="8" t="s">
        <v>93</v>
      </c>
    </row>
    <row r="20" spans="1:19" x14ac:dyDescent="0.25">
      <c r="F20" s="32"/>
      <c r="G20" s="32"/>
      <c r="H20" s="32"/>
      <c r="I20" s="32"/>
      <c r="J20" s="32"/>
      <c r="K20" s="32"/>
      <c r="R20" s="2" t="s">
        <v>82</v>
      </c>
      <c r="S20" s="8">
        <f>S21+S22</f>
        <v>0.1608</v>
      </c>
    </row>
    <row r="21" spans="1:19" x14ac:dyDescent="0.25">
      <c r="F21" s="32"/>
      <c r="G21" s="32"/>
      <c r="H21" s="32"/>
      <c r="I21" s="32"/>
      <c r="J21" s="32"/>
      <c r="K21" s="32"/>
      <c r="R21" s="2" t="s">
        <v>83</v>
      </c>
      <c r="S21" s="8">
        <v>0.1608</v>
      </c>
    </row>
    <row r="22" spans="1:19" x14ac:dyDescent="0.25">
      <c r="F22" s="32"/>
      <c r="G22" s="32"/>
      <c r="H22" s="32"/>
      <c r="I22" s="32"/>
      <c r="J22" s="32"/>
      <c r="K22" s="32"/>
      <c r="R22" s="2" t="s">
        <v>84</v>
      </c>
      <c r="S22" s="10">
        <v>0</v>
      </c>
    </row>
    <row r="23" spans="1:19" x14ac:dyDescent="0.25">
      <c r="F23" s="32"/>
      <c r="G23" s="32"/>
      <c r="H23" s="32"/>
      <c r="I23" s="32"/>
      <c r="J23" s="32"/>
      <c r="K23" s="32"/>
      <c r="R23" s="2" t="s">
        <v>115</v>
      </c>
      <c r="S23" s="8"/>
    </row>
    <row r="24" spans="1:19" x14ac:dyDescent="0.25">
      <c r="F24" s="32"/>
      <c r="G24" s="32"/>
      <c r="H24" s="32"/>
      <c r="I24" s="32"/>
      <c r="J24" s="32"/>
      <c r="K24" s="32"/>
      <c r="R24" s="2" t="s">
        <v>11</v>
      </c>
      <c r="S24" s="8" t="s">
        <v>185</v>
      </c>
    </row>
    <row r="25" spans="1:19" x14ac:dyDescent="0.25">
      <c r="F25" s="32"/>
      <c r="G25" s="32"/>
      <c r="H25" s="32"/>
      <c r="I25" s="32"/>
      <c r="J25" s="32"/>
      <c r="K25" s="32"/>
      <c r="R25" s="2" t="s">
        <v>76</v>
      </c>
      <c r="S25" s="8" t="s">
        <v>188</v>
      </c>
    </row>
    <row r="26" spans="1:19" x14ac:dyDescent="0.25">
      <c r="F26" s="2" t="s">
        <v>0</v>
      </c>
      <c r="G26" s="4">
        <v>46231</v>
      </c>
      <c r="H26" s="2" t="s">
        <v>2</v>
      </c>
      <c r="I26" s="1" t="s">
        <v>35</v>
      </c>
      <c r="J26" s="2" t="s">
        <v>11</v>
      </c>
      <c r="K26" s="1" t="s">
        <v>14</v>
      </c>
      <c r="R26" s="2" t="s">
        <v>77</v>
      </c>
      <c r="S26" s="8"/>
    </row>
    <row r="27" spans="1:19" ht="14.45" customHeight="1" x14ac:dyDescent="0.25">
      <c r="F27" s="32" t="s">
        <v>838</v>
      </c>
      <c r="G27" s="32"/>
      <c r="H27" s="32"/>
      <c r="I27" s="32"/>
      <c r="J27" s="32"/>
      <c r="K27" s="32"/>
      <c r="R27" s="2" t="s">
        <v>78</v>
      </c>
      <c r="S27" s="8" t="s">
        <v>101</v>
      </c>
    </row>
    <row r="28" spans="1:19" x14ac:dyDescent="0.25">
      <c r="F28" s="32"/>
      <c r="G28" s="32"/>
      <c r="H28" s="32"/>
      <c r="I28" s="32"/>
      <c r="J28" s="32"/>
      <c r="K28" s="32"/>
      <c r="R28" s="2" t="s">
        <v>92</v>
      </c>
      <c r="S28" s="8" t="s">
        <v>189</v>
      </c>
    </row>
    <row r="29" spans="1:19" x14ac:dyDescent="0.25">
      <c r="F29" s="32"/>
      <c r="G29" s="32"/>
      <c r="H29" s="32"/>
      <c r="I29" s="32"/>
      <c r="J29" s="32"/>
      <c r="K29" s="32"/>
      <c r="R29" s="2" t="s">
        <v>80</v>
      </c>
      <c r="S29" s="8" t="s">
        <v>113</v>
      </c>
    </row>
    <row r="30" spans="1:19" x14ac:dyDescent="0.25">
      <c r="F30" s="32"/>
      <c r="G30" s="32"/>
      <c r="H30" s="32"/>
      <c r="I30" s="32"/>
      <c r="J30" s="32"/>
      <c r="K30" s="32"/>
      <c r="R30" s="2" t="s">
        <v>81</v>
      </c>
      <c r="S30" s="8" t="s">
        <v>93</v>
      </c>
    </row>
    <row r="31" spans="1:19" x14ac:dyDescent="0.25">
      <c r="F31" s="32"/>
      <c r="G31" s="32"/>
      <c r="H31" s="32"/>
      <c r="I31" s="32"/>
      <c r="J31" s="32"/>
      <c r="K31" s="32"/>
      <c r="R31" s="2" t="s">
        <v>82</v>
      </c>
      <c r="S31" s="8">
        <f>S32+S33</f>
        <v>0.70989999999999998</v>
      </c>
    </row>
    <row r="32" spans="1:19" x14ac:dyDescent="0.25">
      <c r="F32" s="32"/>
      <c r="G32" s="32"/>
      <c r="H32" s="32"/>
      <c r="I32" s="32"/>
      <c r="J32" s="32"/>
      <c r="K32" s="32"/>
      <c r="R32" s="2" t="s">
        <v>83</v>
      </c>
      <c r="S32" s="10">
        <v>0.70989999999999998</v>
      </c>
    </row>
    <row r="33" spans="6:19" x14ac:dyDescent="0.25">
      <c r="F33" s="2" t="s">
        <v>0</v>
      </c>
      <c r="G33" s="4">
        <v>46265</v>
      </c>
      <c r="H33" s="2" t="s">
        <v>2</v>
      </c>
      <c r="I33" s="1" t="s">
        <v>47</v>
      </c>
      <c r="J33" s="2" t="s">
        <v>11</v>
      </c>
      <c r="K33" s="1" t="s">
        <v>14</v>
      </c>
      <c r="R33" s="2" t="s">
        <v>84</v>
      </c>
      <c r="S33" s="10">
        <v>0</v>
      </c>
    </row>
    <row r="34" spans="6:19" x14ac:dyDescent="0.25">
      <c r="F34" s="32" t="s">
        <v>1258</v>
      </c>
      <c r="G34" s="32"/>
      <c r="H34" s="32"/>
      <c r="I34" s="32"/>
      <c r="J34" s="32"/>
      <c r="K34" s="32"/>
      <c r="R34" s="2" t="s">
        <v>115</v>
      </c>
      <c r="S34" s="8"/>
    </row>
    <row r="35" spans="6:19" x14ac:dyDescent="0.25">
      <c r="F35" s="32"/>
      <c r="G35" s="32"/>
      <c r="H35" s="32"/>
      <c r="I35" s="32"/>
      <c r="J35" s="32"/>
      <c r="K35" s="32"/>
      <c r="R35" s="2" t="s">
        <v>85</v>
      </c>
      <c r="S35" s="10">
        <f>S32+S21+S10</f>
        <v>1.0907</v>
      </c>
    </row>
    <row r="36" spans="6:19" x14ac:dyDescent="0.25">
      <c r="F36" s="32"/>
      <c r="G36" s="32"/>
      <c r="H36" s="32"/>
      <c r="I36" s="32"/>
      <c r="J36" s="32"/>
      <c r="K36" s="32"/>
      <c r="R36" s="2" t="s">
        <v>86</v>
      </c>
      <c r="S36" s="10">
        <f>S35*12.032</f>
        <v>13.1233024</v>
      </c>
    </row>
    <row r="37" spans="6:19" x14ac:dyDescent="0.25">
      <c r="F37" s="32"/>
      <c r="G37" s="32"/>
      <c r="H37" s="32"/>
      <c r="I37" s="32"/>
      <c r="J37" s="32"/>
      <c r="K37" s="32"/>
    </row>
    <row r="38" spans="6:19" x14ac:dyDescent="0.25">
      <c r="F38" s="32"/>
      <c r="G38" s="32"/>
      <c r="H38" s="32"/>
      <c r="I38" s="32"/>
      <c r="J38" s="32"/>
      <c r="K38" s="32"/>
    </row>
    <row r="39" spans="6:19" x14ac:dyDescent="0.25">
      <c r="F39" s="32"/>
      <c r="G39" s="32"/>
      <c r="H39" s="32"/>
      <c r="I39" s="32"/>
      <c r="J39" s="32"/>
      <c r="K39" s="32"/>
    </row>
    <row r="40" spans="6:19" x14ac:dyDescent="0.25">
      <c r="F40" s="2" t="s">
        <v>0</v>
      </c>
      <c r="G40" s="4">
        <v>46268</v>
      </c>
      <c r="H40" s="2" t="s">
        <v>2</v>
      </c>
      <c r="I40" s="1" t="s">
        <v>556</v>
      </c>
      <c r="J40" s="2" t="s">
        <v>11</v>
      </c>
      <c r="K40" s="1" t="s">
        <v>14</v>
      </c>
    </row>
    <row r="41" spans="6:19" ht="14.45" customHeight="1" x14ac:dyDescent="0.25">
      <c r="F41" s="32" t="s">
        <v>1078</v>
      </c>
      <c r="G41" s="32"/>
      <c r="H41" s="32"/>
      <c r="I41" s="32"/>
      <c r="J41" s="32"/>
      <c r="K41" s="32"/>
    </row>
    <row r="42" spans="6:19" x14ac:dyDescent="0.25">
      <c r="F42" s="32"/>
      <c r="G42" s="32"/>
      <c r="H42" s="32"/>
      <c r="I42" s="32"/>
      <c r="J42" s="32"/>
      <c r="K42" s="32"/>
    </row>
    <row r="43" spans="6:19" x14ac:dyDescent="0.25">
      <c r="F43" s="32"/>
      <c r="G43" s="32"/>
      <c r="H43" s="32"/>
      <c r="I43" s="32"/>
      <c r="J43" s="32"/>
      <c r="K43" s="32"/>
    </row>
    <row r="44" spans="6:19" x14ac:dyDescent="0.25">
      <c r="F44" s="32"/>
      <c r="G44" s="32"/>
      <c r="H44" s="32"/>
      <c r="I44" s="32"/>
      <c r="J44" s="32"/>
      <c r="K44" s="32"/>
    </row>
    <row r="45" spans="6:19" x14ac:dyDescent="0.25">
      <c r="F45" s="2" t="s">
        <v>0</v>
      </c>
      <c r="G45" s="4">
        <v>46281</v>
      </c>
      <c r="H45" s="2" t="s">
        <v>2</v>
      </c>
      <c r="I45" s="1" t="s">
        <v>35</v>
      </c>
      <c r="J45" s="2" t="s">
        <v>11</v>
      </c>
      <c r="K45" s="1" t="s">
        <v>14</v>
      </c>
    </row>
    <row r="46" spans="6:19" ht="14.45" customHeight="1" x14ac:dyDescent="0.25">
      <c r="F46" s="32" t="s">
        <v>1180</v>
      </c>
      <c r="G46" s="32"/>
      <c r="H46" s="32"/>
      <c r="I46" s="32"/>
      <c r="J46" s="32"/>
      <c r="K46" s="32"/>
    </row>
    <row r="47" spans="6:19" x14ac:dyDescent="0.25">
      <c r="F47" s="32"/>
      <c r="G47" s="32"/>
      <c r="H47" s="32"/>
      <c r="I47" s="32"/>
      <c r="J47" s="32"/>
      <c r="K47" s="32"/>
    </row>
    <row r="48" spans="6:19" x14ac:dyDescent="0.25">
      <c r="F48" s="32"/>
      <c r="G48" s="32"/>
      <c r="H48" s="32"/>
      <c r="I48" s="32"/>
      <c r="J48" s="32"/>
      <c r="K48" s="32"/>
    </row>
    <row r="49" spans="6:11" x14ac:dyDescent="0.25">
      <c r="F49" s="32"/>
      <c r="G49" s="32"/>
      <c r="H49" s="32"/>
      <c r="I49" s="32"/>
      <c r="J49" s="32"/>
      <c r="K49" s="32"/>
    </row>
    <row r="50" spans="6:11" x14ac:dyDescent="0.25">
      <c r="F50" s="32"/>
      <c r="G50" s="32"/>
      <c r="H50" s="32"/>
      <c r="I50" s="32"/>
      <c r="J50" s="32"/>
      <c r="K50" s="32"/>
    </row>
    <row r="51" spans="6:11" x14ac:dyDescent="0.25">
      <c r="F51" s="32"/>
      <c r="G51" s="32"/>
      <c r="H51" s="32"/>
      <c r="I51" s="32"/>
      <c r="J51" s="32"/>
      <c r="K51" s="32"/>
    </row>
    <row r="52" spans="6:11" x14ac:dyDescent="0.25">
      <c r="F52" s="32"/>
      <c r="G52" s="32"/>
      <c r="H52" s="32"/>
      <c r="I52" s="32"/>
      <c r="J52" s="32"/>
      <c r="K52" s="32"/>
    </row>
    <row r="53" spans="6:11" x14ac:dyDescent="0.25">
      <c r="F53" s="32"/>
      <c r="G53" s="32"/>
      <c r="H53" s="32"/>
      <c r="I53" s="32"/>
      <c r="J53" s="32"/>
      <c r="K53" s="32"/>
    </row>
    <row r="54" spans="6:11" x14ac:dyDescent="0.25">
      <c r="F54" s="32"/>
      <c r="G54" s="32"/>
      <c r="H54" s="32"/>
      <c r="I54" s="32"/>
      <c r="J54" s="32"/>
      <c r="K54" s="32"/>
    </row>
    <row r="55" spans="6:11" x14ac:dyDescent="0.25">
      <c r="F55" s="32"/>
      <c r="G55" s="32"/>
      <c r="H55" s="32"/>
      <c r="I55" s="32"/>
      <c r="J55" s="32"/>
      <c r="K55" s="32"/>
    </row>
    <row r="56" spans="6:11" x14ac:dyDescent="0.25">
      <c r="F56" s="2" t="s">
        <v>0</v>
      </c>
      <c r="G56" s="4">
        <v>46283</v>
      </c>
      <c r="H56" s="2" t="s">
        <v>2</v>
      </c>
      <c r="I56" s="1" t="s">
        <v>47</v>
      </c>
      <c r="J56" s="2" t="s">
        <v>11</v>
      </c>
      <c r="K56" s="1" t="s">
        <v>14</v>
      </c>
    </row>
    <row r="57" spans="6:11" x14ac:dyDescent="0.25">
      <c r="F57" s="37" t="s">
        <v>1210</v>
      </c>
      <c r="G57" s="37"/>
      <c r="H57" s="37"/>
      <c r="I57" s="37"/>
      <c r="J57" s="37"/>
      <c r="K57" s="37"/>
    </row>
    <row r="58" spans="6:11" x14ac:dyDescent="0.25">
      <c r="F58" s="37"/>
      <c r="G58" s="37"/>
      <c r="H58" s="37"/>
      <c r="I58" s="37"/>
      <c r="J58" s="37"/>
      <c r="K58" s="37"/>
    </row>
    <row r="59" spans="6:11" x14ac:dyDescent="0.25">
      <c r="F59" s="2" t="s">
        <v>0</v>
      </c>
      <c r="G59" s="4">
        <v>46288</v>
      </c>
      <c r="H59" s="2" t="s">
        <v>2</v>
      </c>
      <c r="I59" s="1" t="s">
        <v>22</v>
      </c>
      <c r="J59" s="2" t="s">
        <v>11</v>
      </c>
      <c r="K59" s="1" t="s">
        <v>185</v>
      </c>
    </row>
    <row r="60" spans="6:11" ht="14.45" customHeight="1" x14ac:dyDescent="0.25">
      <c r="F60" s="32" t="s">
        <v>1246</v>
      </c>
      <c r="G60" s="32"/>
      <c r="H60" s="32"/>
      <c r="I60" s="32"/>
      <c r="J60" s="32"/>
      <c r="K60" s="32"/>
    </row>
    <row r="61" spans="6:11" x14ac:dyDescent="0.25">
      <c r="F61" s="32"/>
      <c r="G61" s="32"/>
      <c r="H61" s="32"/>
      <c r="I61" s="32"/>
      <c r="J61" s="32"/>
      <c r="K61" s="32"/>
    </row>
    <row r="62" spans="6:11" x14ac:dyDescent="0.25">
      <c r="F62" s="32"/>
      <c r="G62" s="32"/>
      <c r="H62" s="32"/>
      <c r="I62" s="32"/>
      <c r="J62" s="32"/>
      <c r="K62" s="32"/>
    </row>
    <row r="63" spans="6:11" x14ac:dyDescent="0.25">
      <c r="F63" s="32"/>
      <c r="G63" s="32"/>
      <c r="H63" s="32"/>
      <c r="I63" s="32"/>
      <c r="J63" s="32"/>
      <c r="K63" s="32"/>
    </row>
    <row r="64" spans="6:11" x14ac:dyDescent="0.25">
      <c r="F64" s="32"/>
      <c r="G64" s="32"/>
      <c r="H64" s="32"/>
      <c r="I64" s="32"/>
      <c r="J64" s="32"/>
      <c r="K64" s="32"/>
    </row>
    <row r="65" spans="6:11" x14ac:dyDescent="0.25">
      <c r="F65" s="32"/>
      <c r="G65" s="32"/>
      <c r="H65" s="32"/>
      <c r="I65" s="32"/>
      <c r="J65" s="32"/>
      <c r="K65" s="32"/>
    </row>
    <row r="66" spans="6:11" x14ac:dyDescent="0.25">
      <c r="F66" s="32"/>
      <c r="G66" s="32"/>
      <c r="H66" s="32"/>
      <c r="I66" s="32"/>
      <c r="J66" s="32"/>
      <c r="K66" s="32"/>
    </row>
    <row r="67" spans="6:11" x14ac:dyDescent="0.25">
      <c r="F67" s="32"/>
      <c r="G67" s="32"/>
      <c r="H67" s="32"/>
      <c r="I67" s="32"/>
      <c r="J67" s="32"/>
      <c r="K67" s="32"/>
    </row>
    <row r="68" spans="6:11" x14ac:dyDescent="0.25">
      <c r="F68" s="32"/>
      <c r="G68" s="32"/>
      <c r="H68" s="32"/>
      <c r="I68" s="32"/>
      <c r="J68" s="32"/>
      <c r="K68" s="32"/>
    </row>
    <row r="69" spans="6:11" x14ac:dyDescent="0.25">
      <c r="F69" s="32"/>
      <c r="G69" s="32"/>
      <c r="H69" s="32"/>
      <c r="I69" s="32"/>
      <c r="J69" s="32"/>
      <c r="K69" s="32"/>
    </row>
    <row r="70" spans="6:11" x14ac:dyDescent="0.25">
      <c r="F70" s="32"/>
      <c r="G70" s="32"/>
      <c r="H70" s="32"/>
      <c r="I70" s="32"/>
      <c r="J70" s="32"/>
      <c r="K70" s="32"/>
    </row>
    <row r="71" spans="6:11" x14ac:dyDescent="0.25">
      <c r="F71" s="32"/>
      <c r="G71" s="32"/>
      <c r="H71" s="32"/>
      <c r="I71" s="32"/>
      <c r="J71" s="32"/>
      <c r="K71" s="32"/>
    </row>
    <row r="72" spans="6:11" x14ac:dyDescent="0.25">
      <c r="F72" s="2" t="s">
        <v>0</v>
      </c>
      <c r="G72" s="4">
        <v>46289</v>
      </c>
      <c r="H72" s="2" t="s">
        <v>2</v>
      </c>
      <c r="I72" s="1" t="s">
        <v>22</v>
      </c>
      <c r="J72" s="2" t="s">
        <v>11</v>
      </c>
      <c r="K72" s="1" t="s">
        <v>185</v>
      </c>
    </row>
    <row r="73" spans="6:11" x14ac:dyDescent="0.25">
      <c r="F73" s="32" t="s">
        <v>1257</v>
      </c>
      <c r="G73" s="32"/>
      <c r="H73" s="32"/>
      <c r="I73" s="32"/>
      <c r="J73" s="32"/>
      <c r="K73" s="32"/>
    </row>
    <row r="74" spans="6:11" x14ac:dyDescent="0.25">
      <c r="F74" s="32"/>
      <c r="G74" s="32"/>
      <c r="H74" s="32"/>
      <c r="I74" s="32"/>
      <c r="J74" s="32"/>
      <c r="K74" s="32"/>
    </row>
  </sheetData>
  <mergeCells count="16">
    <mergeCell ref="F34:K39"/>
    <mergeCell ref="F27:K32"/>
    <mergeCell ref="F19:K25"/>
    <mergeCell ref="F14:K17"/>
    <mergeCell ref="F11:K12"/>
    <mergeCell ref="U1:V1"/>
    <mergeCell ref="F6:K9"/>
    <mergeCell ref="R1:S1"/>
    <mergeCell ref="F3:K4"/>
    <mergeCell ref="F1:K1"/>
    <mergeCell ref="M1:P1"/>
    <mergeCell ref="F73:K74"/>
    <mergeCell ref="F60:K71"/>
    <mergeCell ref="F57:K58"/>
    <mergeCell ref="F46:K55"/>
    <mergeCell ref="F41:K4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F9F6E-B28A-4027-930D-3E6359BBF83B}">
  <dimension ref="A1:V21"/>
  <sheetViews>
    <sheetView workbookViewId="0">
      <selection activeCell="H26" sqref="H26"/>
    </sheetView>
  </sheetViews>
  <sheetFormatPr baseColWidth="10" defaultRowHeight="15" x14ac:dyDescent="0.25"/>
  <cols>
    <col min="1" max="1" width="11.5703125" style="7"/>
    <col min="2" max="2" width="21.7109375" style="7" bestFit="1" customWidth="1"/>
    <col min="3" max="3" width="11.5703125" style="7"/>
    <col min="4" max="4" width="23.140625" style="7" bestFit="1" customWidth="1"/>
    <col min="18" max="18" width="21.28515625" bestFit="1" customWidth="1"/>
    <col min="19" max="19" width="19.28515625" bestFit="1" customWidth="1"/>
    <col min="21" max="21" width="11.5703125" style="7"/>
    <col min="22" max="22" width="15" style="7" bestFit="1" customWidth="1"/>
  </cols>
  <sheetData>
    <row r="1" spans="1:22" x14ac:dyDescent="0.25">
      <c r="A1" s="3" t="s">
        <v>0</v>
      </c>
      <c r="B1" s="3" t="s">
        <v>1</v>
      </c>
      <c r="C1" s="3" t="s">
        <v>2</v>
      </c>
      <c r="D1" s="3" t="s">
        <v>3</v>
      </c>
      <c r="F1" s="33" t="s">
        <v>4</v>
      </c>
      <c r="G1" s="33"/>
      <c r="H1" s="33"/>
      <c r="I1" s="33"/>
      <c r="J1" s="33"/>
      <c r="K1" s="33"/>
      <c r="M1" s="34" t="s">
        <v>5</v>
      </c>
      <c r="N1" s="38"/>
      <c r="O1" s="38"/>
      <c r="P1" s="35"/>
      <c r="R1" s="34" t="s">
        <v>7</v>
      </c>
      <c r="S1" s="35"/>
      <c r="U1" s="33" t="s">
        <v>87</v>
      </c>
      <c r="V1" s="33"/>
    </row>
    <row r="2" spans="1:22" x14ac:dyDescent="0.25">
      <c r="A2" s="6">
        <v>46195</v>
      </c>
      <c r="B2" s="7" t="s">
        <v>30</v>
      </c>
      <c r="C2" s="7" t="s">
        <v>31</v>
      </c>
      <c r="D2" s="7" t="s">
        <v>32</v>
      </c>
      <c r="F2" s="2" t="s">
        <v>0</v>
      </c>
      <c r="G2" s="4">
        <v>46196</v>
      </c>
      <c r="H2" s="2" t="s">
        <v>2</v>
      </c>
      <c r="I2" s="1" t="s">
        <v>47</v>
      </c>
      <c r="J2" s="2" t="s">
        <v>11</v>
      </c>
      <c r="K2" s="1" t="s">
        <v>14</v>
      </c>
      <c r="M2" s="2" t="s">
        <v>0</v>
      </c>
      <c r="N2" s="1"/>
      <c r="O2" s="2" t="s">
        <v>6</v>
      </c>
      <c r="P2" s="1"/>
      <c r="R2" s="2" t="s">
        <v>11</v>
      </c>
      <c r="S2" s="8" t="s">
        <v>190</v>
      </c>
      <c r="U2" s="3" t="s">
        <v>0</v>
      </c>
      <c r="V2" s="3" t="s">
        <v>88</v>
      </c>
    </row>
    <row r="3" spans="1:22" x14ac:dyDescent="0.25">
      <c r="A3" s="6">
        <v>46196</v>
      </c>
      <c r="B3" s="7" t="s">
        <v>48</v>
      </c>
      <c r="C3" s="7" t="s">
        <v>47</v>
      </c>
      <c r="D3" s="7" t="s">
        <v>49</v>
      </c>
      <c r="F3" s="37" t="s">
        <v>60</v>
      </c>
      <c r="G3" s="37"/>
      <c r="H3" s="37"/>
      <c r="I3" s="37"/>
      <c r="J3" s="37"/>
      <c r="K3" s="37"/>
      <c r="R3" s="2" t="s">
        <v>76</v>
      </c>
      <c r="S3" s="8" t="s">
        <v>191</v>
      </c>
    </row>
    <row r="4" spans="1:22" x14ac:dyDescent="0.25">
      <c r="A4" s="6">
        <v>46197</v>
      </c>
      <c r="B4" s="7" t="s">
        <v>343</v>
      </c>
      <c r="C4" s="7" t="s">
        <v>344</v>
      </c>
      <c r="D4" s="7" t="s">
        <v>345</v>
      </c>
      <c r="F4" s="37"/>
      <c r="G4" s="37"/>
      <c r="H4" s="37"/>
      <c r="I4" s="37"/>
      <c r="J4" s="37"/>
      <c r="K4" s="37"/>
      <c r="R4" s="2" t="s">
        <v>77</v>
      </c>
      <c r="S4" s="8"/>
    </row>
    <row r="5" spans="1:22" x14ac:dyDescent="0.25">
      <c r="A5" s="6">
        <v>46220</v>
      </c>
      <c r="B5" s="7" t="s">
        <v>30</v>
      </c>
      <c r="C5" s="7" t="s">
        <v>31</v>
      </c>
      <c r="D5" s="7" t="s">
        <v>538</v>
      </c>
      <c r="F5" s="2" t="s">
        <v>0</v>
      </c>
      <c r="G5" s="4">
        <v>46240</v>
      </c>
      <c r="H5" s="2" t="s">
        <v>2</v>
      </c>
      <c r="I5" s="1" t="s">
        <v>47</v>
      </c>
      <c r="J5" s="2" t="s">
        <v>11</v>
      </c>
      <c r="K5" s="1" t="s">
        <v>14</v>
      </c>
      <c r="R5" s="2" t="s">
        <v>78</v>
      </c>
      <c r="S5" s="8" t="s">
        <v>101</v>
      </c>
    </row>
    <row r="6" spans="1:22" x14ac:dyDescent="0.25">
      <c r="A6" s="6">
        <v>46225</v>
      </c>
      <c r="B6" s="7" t="s">
        <v>30</v>
      </c>
      <c r="C6" s="7" t="s">
        <v>31</v>
      </c>
      <c r="D6" s="7" t="s">
        <v>538</v>
      </c>
      <c r="F6" s="37" t="s">
        <v>815</v>
      </c>
      <c r="G6" s="37"/>
      <c r="H6" s="37"/>
      <c r="I6" s="37"/>
      <c r="J6" s="37"/>
      <c r="K6" s="37"/>
      <c r="R6" s="2" t="s">
        <v>92</v>
      </c>
      <c r="S6" s="8" t="s">
        <v>192</v>
      </c>
    </row>
    <row r="7" spans="1:22" x14ac:dyDescent="0.25">
      <c r="A7" s="6">
        <v>46265</v>
      </c>
      <c r="B7" s="7" t="s">
        <v>343</v>
      </c>
      <c r="C7" s="7" t="s">
        <v>344</v>
      </c>
      <c r="D7" s="7" t="s">
        <v>1029</v>
      </c>
      <c r="F7" s="37"/>
      <c r="G7" s="37"/>
      <c r="H7" s="37"/>
      <c r="I7" s="37"/>
      <c r="J7" s="37"/>
      <c r="K7" s="37"/>
      <c r="R7" s="2" t="s">
        <v>80</v>
      </c>
      <c r="S7" s="8" t="s">
        <v>113</v>
      </c>
    </row>
    <row r="8" spans="1:22" x14ac:dyDescent="0.25">
      <c r="A8" s="30">
        <v>46274</v>
      </c>
      <c r="B8" s="31" t="s">
        <v>1076</v>
      </c>
      <c r="C8" s="31" t="s">
        <v>31</v>
      </c>
      <c r="D8" s="31" t="s">
        <v>1112</v>
      </c>
      <c r="F8" s="2" t="s">
        <v>0</v>
      </c>
      <c r="G8" s="4">
        <v>46260</v>
      </c>
      <c r="H8" s="2" t="s">
        <v>2</v>
      </c>
      <c r="I8" s="1" t="s">
        <v>999</v>
      </c>
      <c r="J8" s="2" t="s">
        <v>11</v>
      </c>
      <c r="K8" s="1" t="s">
        <v>14</v>
      </c>
      <c r="R8" s="2" t="s">
        <v>81</v>
      </c>
      <c r="S8" s="8"/>
    </row>
    <row r="9" spans="1:22" ht="14.45" customHeight="1" x14ac:dyDescent="0.25">
      <c r="A9" s="30">
        <v>46275</v>
      </c>
      <c r="B9" s="7" t="s">
        <v>1125</v>
      </c>
      <c r="C9" s="7" t="s">
        <v>47</v>
      </c>
      <c r="D9" s="7" t="s">
        <v>56</v>
      </c>
      <c r="F9" s="37" t="s">
        <v>1000</v>
      </c>
      <c r="G9" s="37"/>
      <c r="H9" s="37"/>
      <c r="I9" s="37"/>
      <c r="J9" s="37"/>
      <c r="K9" s="37"/>
      <c r="R9" s="2" t="s">
        <v>82</v>
      </c>
      <c r="S9" s="8">
        <f>S10+S11</f>
        <v>0.1656</v>
      </c>
    </row>
    <row r="10" spans="1:22" x14ac:dyDescent="0.25">
      <c r="A10" s="6">
        <v>46276</v>
      </c>
      <c r="B10" s="7" t="s">
        <v>1130</v>
      </c>
      <c r="C10" s="7" t="s">
        <v>22</v>
      </c>
      <c r="D10" s="7" t="s">
        <v>1131</v>
      </c>
      <c r="F10" s="37"/>
      <c r="G10" s="37"/>
      <c r="H10" s="37"/>
      <c r="I10" s="37"/>
      <c r="J10" s="37"/>
      <c r="K10" s="37"/>
      <c r="R10" s="2" t="s">
        <v>83</v>
      </c>
      <c r="S10" s="10">
        <v>0.1656</v>
      </c>
    </row>
    <row r="11" spans="1:22" x14ac:dyDescent="0.25">
      <c r="F11" s="37"/>
      <c r="G11" s="37"/>
      <c r="H11" s="37"/>
      <c r="I11" s="37"/>
      <c r="J11" s="37"/>
      <c r="K11" s="37"/>
      <c r="R11" s="2" t="s">
        <v>84</v>
      </c>
      <c r="S11" s="10">
        <v>0</v>
      </c>
    </row>
    <row r="12" spans="1:22" x14ac:dyDescent="0.25">
      <c r="F12" s="37"/>
      <c r="G12" s="37"/>
      <c r="H12" s="37"/>
      <c r="I12" s="37"/>
      <c r="J12" s="37"/>
      <c r="K12" s="37"/>
      <c r="R12" s="2" t="s">
        <v>115</v>
      </c>
      <c r="S12" s="8"/>
    </row>
    <row r="13" spans="1:22" x14ac:dyDescent="0.25">
      <c r="F13" s="37"/>
      <c r="G13" s="37"/>
      <c r="H13" s="37"/>
      <c r="I13" s="37"/>
      <c r="J13" s="37"/>
      <c r="K13" s="37"/>
      <c r="R13" s="2" t="s">
        <v>85</v>
      </c>
      <c r="S13" s="8">
        <f>S10</f>
        <v>0.1656</v>
      </c>
    </row>
    <row r="14" spans="1:22" x14ac:dyDescent="0.25">
      <c r="F14" s="2" t="s">
        <v>0</v>
      </c>
      <c r="G14" s="4">
        <v>46275</v>
      </c>
      <c r="H14" s="2" t="s">
        <v>2</v>
      </c>
      <c r="I14" s="1" t="s">
        <v>47</v>
      </c>
      <c r="J14" s="2" t="s">
        <v>11</v>
      </c>
      <c r="K14" s="1" t="s">
        <v>14</v>
      </c>
      <c r="R14" s="2" t="s">
        <v>86</v>
      </c>
      <c r="S14" s="10">
        <f>S13*12.032</f>
        <v>1.9924991999999999</v>
      </c>
    </row>
    <row r="15" spans="1:22" ht="14.45" customHeight="1" x14ac:dyDescent="0.25">
      <c r="F15" s="37" t="s">
        <v>1124</v>
      </c>
      <c r="G15" s="37"/>
      <c r="H15" s="37"/>
      <c r="I15" s="37"/>
      <c r="J15" s="37"/>
      <c r="K15" s="37"/>
    </row>
    <row r="16" spans="1:22" x14ac:dyDescent="0.25">
      <c r="F16" s="37"/>
      <c r="G16" s="37"/>
      <c r="H16" s="37"/>
      <c r="I16" s="37"/>
      <c r="J16" s="37"/>
      <c r="K16" s="37"/>
    </row>
    <row r="17" spans="6:11" x14ac:dyDescent="0.25">
      <c r="F17" s="37"/>
      <c r="G17" s="37"/>
      <c r="H17" s="37"/>
      <c r="I17" s="37"/>
      <c r="J17" s="37"/>
      <c r="K17" s="37"/>
    </row>
    <row r="18" spans="6:11" x14ac:dyDescent="0.25">
      <c r="F18" s="2" t="s">
        <v>0</v>
      </c>
      <c r="G18" s="4">
        <v>46276</v>
      </c>
      <c r="H18" s="2" t="s">
        <v>2</v>
      </c>
      <c r="I18" s="1" t="s">
        <v>22</v>
      </c>
      <c r="J18" s="2" t="s">
        <v>11</v>
      </c>
      <c r="K18" s="1" t="s">
        <v>14</v>
      </c>
    </row>
    <row r="19" spans="6:11" ht="14.45" customHeight="1" x14ac:dyDescent="0.25">
      <c r="F19" s="37" t="s">
        <v>1132</v>
      </c>
      <c r="G19" s="37"/>
      <c r="H19" s="37"/>
      <c r="I19" s="37"/>
      <c r="J19" s="37"/>
      <c r="K19" s="37"/>
    </row>
    <row r="20" spans="6:11" x14ac:dyDescent="0.25">
      <c r="F20" s="2" t="s">
        <v>0</v>
      </c>
      <c r="G20" s="4"/>
      <c r="H20" s="2" t="s">
        <v>2</v>
      </c>
      <c r="I20" s="1"/>
      <c r="J20" s="2" t="s">
        <v>11</v>
      </c>
      <c r="K20" s="1" t="s">
        <v>14</v>
      </c>
    </row>
    <row r="21" spans="6:11" x14ac:dyDescent="0.25">
      <c r="F21" s="37"/>
      <c r="G21" s="37"/>
      <c r="H21" s="37"/>
      <c r="I21" s="37"/>
      <c r="J21" s="37"/>
      <c r="K21" s="37"/>
    </row>
  </sheetData>
  <mergeCells count="10">
    <mergeCell ref="F19:K19"/>
    <mergeCell ref="F21:K21"/>
    <mergeCell ref="F15:K17"/>
    <mergeCell ref="F9:K13"/>
    <mergeCell ref="U1:V1"/>
    <mergeCell ref="F6:K7"/>
    <mergeCell ref="M1:P1"/>
    <mergeCell ref="R1:S1"/>
    <mergeCell ref="F3:K4"/>
    <mergeCell ref="F1:K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33297-C3FB-4861-8252-43A32E1DA70D}">
  <dimension ref="A1:V54"/>
  <sheetViews>
    <sheetView topLeftCell="A6" workbookViewId="0">
      <selection activeCell="N49" sqref="N49"/>
    </sheetView>
  </sheetViews>
  <sheetFormatPr baseColWidth="10" defaultRowHeight="15" x14ac:dyDescent="0.25"/>
  <cols>
    <col min="1" max="1" width="11.5703125" style="7"/>
    <col min="2" max="2" width="37.140625" style="7" bestFit="1" customWidth="1"/>
    <col min="3" max="3" width="11.5703125" style="7"/>
    <col min="4" max="4" width="24.7109375" style="7" bestFit="1" customWidth="1"/>
    <col min="18" max="18" width="21.28515625" bestFit="1" customWidth="1"/>
    <col min="19" max="19" width="16.1406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ht="14.45" customHeight="1" x14ac:dyDescent="0.25">
      <c r="A2" s="6">
        <v>46198</v>
      </c>
      <c r="B2" s="7" t="s">
        <v>8</v>
      </c>
      <c r="C2" s="7" t="s">
        <v>9</v>
      </c>
      <c r="D2" s="7" t="s">
        <v>10</v>
      </c>
      <c r="F2" s="2" t="s">
        <v>0</v>
      </c>
      <c r="G2" s="4">
        <v>46198</v>
      </c>
      <c r="H2" s="2" t="s">
        <v>2</v>
      </c>
      <c r="I2" s="1" t="s">
        <v>22</v>
      </c>
      <c r="J2" s="2" t="s">
        <v>11</v>
      </c>
      <c r="K2" s="1" t="s">
        <v>14</v>
      </c>
      <c r="M2" s="2" t="s">
        <v>0</v>
      </c>
      <c r="N2" s="1"/>
      <c r="O2" s="2" t="s">
        <v>6</v>
      </c>
      <c r="P2" s="1"/>
      <c r="R2" s="2" t="s">
        <v>11</v>
      </c>
      <c r="S2" s="8" t="s">
        <v>193</v>
      </c>
      <c r="U2" s="3" t="s">
        <v>0</v>
      </c>
      <c r="V2" s="3" t="s">
        <v>88</v>
      </c>
    </row>
    <row r="3" spans="1:22" ht="14.45" customHeight="1" x14ac:dyDescent="0.25">
      <c r="A3" s="6">
        <v>46209</v>
      </c>
      <c r="B3" s="7" t="s">
        <v>30</v>
      </c>
      <c r="C3" s="7" t="s">
        <v>31</v>
      </c>
      <c r="D3" s="7" t="s">
        <v>433</v>
      </c>
      <c r="F3" s="32" t="s">
        <v>73</v>
      </c>
      <c r="G3" s="32"/>
      <c r="H3" s="32"/>
      <c r="I3" s="32"/>
      <c r="J3" s="32"/>
      <c r="K3" s="32"/>
      <c r="R3" s="2" t="s">
        <v>76</v>
      </c>
      <c r="S3" s="8" t="s">
        <v>194</v>
      </c>
    </row>
    <row r="4" spans="1:22" x14ac:dyDescent="0.25">
      <c r="A4" s="6">
        <v>46211</v>
      </c>
      <c r="B4" s="7" t="s">
        <v>8</v>
      </c>
      <c r="C4" s="7" t="s">
        <v>9</v>
      </c>
      <c r="D4" s="7" t="s">
        <v>445</v>
      </c>
      <c r="F4" s="32"/>
      <c r="G4" s="32"/>
      <c r="H4" s="32"/>
      <c r="I4" s="32"/>
      <c r="J4" s="32"/>
      <c r="K4" s="32"/>
      <c r="R4" s="2" t="s">
        <v>77</v>
      </c>
      <c r="S4" s="8"/>
    </row>
    <row r="5" spans="1:22" x14ac:dyDescent="0.25">
      <c r="A5" s="6">
        <v>46220</v>
      </c>
      <c r="B5" s="7" t="s">
        <v>30</v>
      </c>
      <c r="C5" s="7" t="s">
        <v>31</v>
      </c>
      <c r="D5" s="7" t="s">
        <v>538</v>
      </c>
      <c r="F5" s="32"/>
      <c r="G5" s="32"/>
      <c r="H5" s="32"/>
      <c r="I5" s="32"/>
      <c r="J5" s="32"/>
      <c r="K5" s="32"/>
      <c r="R5" s="2" t="s">
        <v>78</v>
      </c>
      <c r="S5" s="8" t="s">
        <v>101</v>
      </c>
    </row>
    <row r="6" spans="1:22" x14ac:dyDescent="0.25">
      <c r="A6" s="6">
        <v>46224</v>
      </c>
      <c r="B6" s="7" t="s">
        <v>573</v>
      </c>
      <c r="C6" s="7" t="s">
        <v>9</v>
      </c>
      <c r="D6" s="7" t="s">
        <v>574</v>
      </c>
      <c r="F6" s="2" t="s">
        <v>0</v>
      </c>
      <c r="G6" s="4">
        <v>46211</v>
      </c>
      <c r="H6" s="2" t="s">
        <v>2</v>
      </c>
      <c r="I6" s="1" t="s">
        <v>22</v>
      </c>
      <c r="J6" s="2" t="s">
        <v>11</v>
      </c>
      <c r="K6" s="1" t="s">
        <v>14</v>
      </c>
      <c r="R6" s="2" t="s">
        <v>92</v>
      </c>
      <c r="S6" s="8" t="s">
        <v>195</v>
      </c>
    </row>
    <row r="7" spans="1:22" x14ac:dyDescent="0.25">
      <c r="A7" s="6">
        <v>46234</v>
      </c>
      <c r="B7" s="7" t="s">
        <v>8</v>
      </c>
      <c r="C7" s="7" t="s">
        <v>22</v>
      </c>
      <c r="D7" s="7" t="s">
        <v>718</v>
      </c>
      <c r="F7" s="32" t="s">
        <v>456</v>
      </c>
      <c r="G7" s="32"/>
      <c r="H7" s="32"/>
      <c r="I7" s="32"/>
      <c r="J7" s="32"/>
      <c r="K7" s="32"/>
      <c r="R7" s="2" t="s">
        <v>80</v>
      </c>
      <c r="S7" s="8" t="s">
        <v>113</v>
      </c>
    </row>
    <row r="8" spans="1:22" x14ac:dyDescent="0.25">
      <c r="A8" s="6">
        <v>46244</v>
      </c>
      <c r="B8" s="7" t="s">
        <v>799</v>
      </c>
      <c r="C8" s="7" t="s">
        <v>9</v>
      </c>
      <c r="D8" s="7" t="s">
        <v>846</v>
      </c>
      <c r="F8" s="32"/>
      <c r="G8" s="32"/>
      <c r="H8" s="32"/>
      <c r="I8" s="32"/>
      <c r="J8" s="32"/>
      <c r="K8" s="32"/>
      <c r="R8" s="2" t="s">
        <v>81</v>
      </c>
      <c r="S8" s="8"/>
    </row>
    <row r="9" spans="1:22" x14ac:dyDescent="0.25">
      <c r="A9" s="6">
        <v>46244</v>
      </c>
      <c r="B9" s="7" t="s">
        <v>768</v>
      </c>
      <c r="C9" s="7" t="s">
        <v>9</v>
      </c>
      <c r="D9" s="7" t="s">
        <v>56</v>
      </c>
      <c r="F9" s="32"/>
      <c r="G9" s="32"/>
      <c r="H9" s="32"/>
      <c r="I9" s="32"/>
      <c r="J9" s="32"/>
      <c r="K9" s="32"/>
      <c r="R9" s="2" t="s">
        <v>82</v>
      </c>
      <c r="S9" s="8">
        <f>S10+S11</f>
        <v>0.2253</v>
      </c>
    </row>
    <row r="10" spans="1:22" x14ac:dyDescent="0.25">
      <c r="A10" s="6">
        <v>46245</v>
      </c>
      <c r="B10" s="7" t="s">
        <v>30</v>
      </c>
      <c r="C10" s="7" t="s">
        <v>63</v>
      </c>
      <c r="D10" s="7" t="s">
        <v>869</v>
      </c>
      <c r="F10" s="2" t="s">
        <v>0</v>
      </c>
      <c r="G10" s="4">
        <v>46223</v>
      </c>
      <c r="H10" s="2" t="s">
        <v>2</v>
      </c>
      <c r="I10" s="1" t="s">
        <v>47</v>
      </c>
      <c r="J10" s="2" t="s">
        <v>11</v>
      </c>
      <c r="K10" s="1" t="s">
        <v>14</v>
      </c>
      <c r="R10" s="2" t="s">
        <v>83</v>
      </c>
      <c r="S10" s="10">
        <v>0.2253</v>
      </c>
    </row>
    <row r="11" spans="1:22" x14ac:dyDescent="0.25">
      <c r="A11" s="6">
        <v>46252</v>
      </c>
      <c r="B11" s="7" t="s">
        <v>8</v>
      </c>
      <c r="C11" s="7" t="s">
        <v>22</v>
      </c>
      <c r="D11" s="7" t="s">
        <v>915</v>
      </c>
      <c r="F11" s="32" t="s">
        <v>564</v>
      </c>
      <c r="G11" s="32"/>
      <c r="H11" s="32"/>
      <c r="I11" s="32"/>
      <c r="J11" s="32"/>
      <c r="K11" s="32"/>
      <c r="R11" s="2" t="s">
        <v>84</v>
      </c>
      <c r="S11" s="10">
        <v>0</v>
      </c>
    </row>
    <row r="12" spans="1:22" x14ac:dyDescent="0.25">
      <c r="A12" s="6">
        <v>46256</v>
      </c>
      <c r="B12" s="7" t="s">
        <v>954</v>
      </c>
      <c r="C12" s="7" t="s">
        <v>47</v>
      </c>
      <c r="D12" s="7" t="s">
        <v>56</v>
      </c>
      <c r="F12" s="32"/>
      <c r="G12" s="32"/>
      <c r="H12" s="32"/>
      <c r="I12" s="32"/>
      <c r="J12" s="32"/>
      <c r="K12" s="32"/>
      <c r="R12" s="2" t="s">
        <v>115</v>
      </c>
      <c r="S12" s="8"/>
    </row>
    <row r="13" spans="1:22" x14ac:dyDescent="0.25">
      <c r="A13" s="6">
        <v>46257</v>
      </c>
      <c r="B13" s="7" t="s">
        <v>343</v>
      </c>
      <c r="C13" s="7" t="s">
        <v>344</v>
      </c>
      <c r="D13" s="7" t="s">
        <v>1029</v>
      </c>
      <c r="F13" s="32"/>
      <c r="G13" s="32"/>
      <c r="H13" s="32"/>
      <c r="I13" s="32"/>
      <c r="J13" s="32"/>
      <c r="K13" s="32"/>
      <c r="R13" s="2" t="s">
        <v>85</v>
      </c>
      <c r="S13" s="8">
        <f>S10</f>
        <v>0.2253</v>
      </c>
    </row>
    <row r="14" spans="1:22" x14ac:dyDescent="0.25">
      <c r="A14" s="6">
        <v>46272</v>
      </c>
      <c r="B14" s="7" t="s">
        <v>1096</v>
      </c>
      <c r="C14" s="7" t="s">
        <v>9</v>
      </c>
      <c r="D14" s="7" t="s">
        <v>1092</v>
      </c>
      <c r="F14" s="2" t="s">
        <v>0</v>
      </c>
      <c r="G14" s="4">
        <v>46224</v>
      </c>
      <c r="H14" s="2" t="s">
        <v>2</v>
      </c>
      <c r="I14" s="1" t="s">
        <v>22</v>
      </c>
      <c r="J14" s="2" t="s">
        <v>11</v>
      </c>
      <c r="K14" s="1" t="s">
        <v>14</v>
      </c>
      <c r="R14" s="2" t="s">
        <v>86</v>
      </c>
      <c r="S14" s="10">
        <f>S13*12.032</f>
        <v>2.7108096000000002</v>
      </c>
    </row>
    <row r="15" spans="1:22" x14ac:dyDescent="0.25">
      <c r="A15" s="6">
        <v>46279</v>
      </c>
      <c r="B15" s="7" t="s">
        <v>1076</v>
      </c>
      <c r="C15" s="7" t="s">
        <v>588</v>
      </c>
      <c r="D15" s="7" t="s">
        <v>1159</v>
      </c>
      <c r="F15" s="32" t="s">
        <v>579</v>
      </c>
      <c r="G15" s="32"/>
      <c r="H15" s="32"/>
      <c r="I15" s="32"/>
      <c r="J15" s="32"/>
      <c r="K15" s="32"/>
    </row>
    <row r="16" spans="1:22" x14ac:dyDescent="0.25">
      <c r="A16" s="6">
        <v>46283</v>
      </c>
      <c r="B16" s="7" t="s">
        <v>1208</v>
      </c>
      <c r="C16" s="7" t="s">
        <v>47</v>
      </c>
      <c r="D16" s="7" t="s">
        <v>56</v>
      </c>
      <c r="F16" s="32"/>
      <c r="G16" s="32"/>
      <c r="H16" s="32"/>
      <c r="I16" s="32"/>
      <c r="J16" s="32"/>
      <c r="K16" s="32"/>
    </row>
    <row r="17" spans="6:11" x14ac:dyDescent="0.25">
      <c r="F17" s="32"/>
      <c r="G17" s="32"/>
      <c r="H17" s="32"/>
      <c r="I17" s="32"/>
      <c r="J17" s="32"/>
      <c r="K17" s="32"/>
    </row>
    <row r="18" spans="6:11" x14ac:dyDescent="0.25">
      <c r="F18" s="2" t="s">
        <v>0</v>
      </c>
      <c r="G18" s="4">
        <v>46234</v>
      </c>
      <c r="H18" s="2" t="s">
        <v>2</v>
      </c>
      <c r="I18" s="1" t="s">
        <v>22</v>
      </c>
      <c r="J18" s="2" t="s">
        <v>11</v>
      </c>
      <c r="K18" s="1" t="s">
        <v>14</v>
      </c>
    </row>
    <row r="19" spans="6:11" x14ac:dyDescent="0.25">
      <c r="F19" s="32" t="s">
        <v>723</v>
      </c>
      <c r="G19" s="32"/>
      <c r="H19" s="32"/>
      <c r="I19" s="32"/>
      <c r="J19" s="32"/>
      <c r="K19" s="32"/>
    </row>
    <row r="20" spans="6:11" x14ac:dyDescent="0.25">
      <c r="F20" s="32"/>
      <c r="G20" s="32"/>
      <c r="H20" s="32"/>
      <c r="I20" s="32"/>
      <c r="J20" s="32"/>
      <c r="K20" s="32"/>
    </row>
    <row r="21" spans="6:11" x14ac:dyDescent="0.25">
      <c r="F21" s="32"/>
      <c r="G21" s="32"/>
      <c r="H21" s="32"/>
      <c r="I21" s="32"/>
      <c r="J21" s="32"/>
      <c r="K21" s="32"/>
    </row>
    <row r="22" spans="6:11" x14ac:dyDescent="0.25">
      <c r="F22" s="2" t="s">
        <v>0</v>
      </c>
      <c r="G22" s="4">
        <v>46244</v>
      </c>
      <c r="H22" s="2" t="s">
        <v>2</v>
      </c>
      <c r="I22" s="1" t="s">
        <v>22</v>
      </c>
      <c r="J22" s="2" t="s">
        <v>11</v>
      </c>
      <c r="K22" s="1" t="s">
        <v>14</v>
      </c>
    </row>
    <row r="23" spans="6:11" ht="14.45" customHeight="1" x14ac:dyDescent="0.25">
      <c r="F23" s="32" t="s">
        <v>845</v>
      </c>
      <c r="G23" s="32"/>
      <c r="H23" s="32"/>
      <c r="I23" s="32"/>
      <c r="J23" s="32"/>
      <c r="K23" s="32"/>
    </row>
    <row r="24" spans="6:11" x14ac:dyDescent="0.25">
      <c r="F24" s="32"/>
      <c r="G24" s="32"/>
      <c r="H24" s="32"/>
      <c r="I24" s="32"/>
      <c r="J24" s="32"/>
      <c r="K24" s="32"/>
    </row>
    <row r="25" spans="6:11" x14ac:dyDescent="0.25">
      <c r="F25" s="32"/>
      <c r="G25" s="32"/>
      <c r="H25" s="32"/>
      <c r="I25" s="32"/>
      <c r="J25" s="32"/>
      <c r="K25" s="32"/>
    </row>
    <row r="26" spans="6:11" x14ac:dyDescent="0.25">
      <c r="F26" s="32"/>
      <c r="G26" s="32"/>
      <c r="H26" s="32"/>
      <c r="I26" s="32"/>
      <c r="J26" s="32"/>
      <c r="K26" s="32"/>
    </row>
    <row r="27" spans="6:11" x14ac:dyDescent="0.25">
      <c r="F27" s="32"/>
      <c r="G27" s="32"/>
      <c r="H27" s="32"/>
      <c r="I27" s="32"/>
      <c r="J27" s="32"/>
      <c r="K27" s="32"/>
    </row>
    <row r="28" spans="6:11" x14ac:dyDescent="0.25">
      <c r="F28" s="2" t="s">
        <v>0</v>
      </c>
      <c r="G28" s="4">
        <v>46246</v>
      </c>
      <c r="H28" s="2" t="s">
        <v>2</v>
      </c>
      <c r="I28" s="1" t="s">
        <v>47</v>
      </c>
      <c r="J28" s="2" t="s">
        <v>11</v>
      </c>
      <c r="K28" s="1" t="s">
        <v>14</v>
      </c>
    </row>
    <row r="29" spans="6:11" ht="14.45" customHeight="1" x14ac:dyDescent="0.25">
      <c r="F29" s="32" t="s">
        <v>875</v>
      </c>
      <c r="G29" s="32"/>
      <c r="H29" s="32"/>
      <c r="I29" s="32"/>
      <c r="J29" s="32"/>
      <c r="K29" s="32"/>
    </row>
    <row r="30" spans="6:11" x14ac:dyDescent="0.25">
      <c r="F30" s="32"/>
      <c r="G30" s="32"/>
      <c r="H30" s="32"/>
      <c r="I30" s="32"/>
      <c r="J30" s="32"/>
      <c r="K30" s="32"/>
    </row>
    <row r="31" spans="6:11" x14ac:dyDescent="0.25">
      <c r="F31" s="32"/>
      <c r="G31" s="32"/>
      <c r="H31" s="32"/>
      <c r="I31" s="32"/>
      <c r="J31" s="32"/>
      <c r="K31" s="32"/>
    </row>
    <row r="32" spans="6:11" x14ac:dyDescent="0.25">
      <c r="F32" s="32"/>
      <c r="G32" s="32"/>
      <c r="H32" s="32"/>
      <c r="I32" s="32"/>
      <c r="J32" s="32"/>
      <c r="K32" s="32"/>
    </row>
    <row r="33" spans="6:11" x14ac:dyDescent="0.25">
      <c r="F33" s="2" t="s">
        <v>0</v>
      </c>
      <c r="G33" s="4">
        <v>46252</v>
      </c>
      <c r="H33" s="2" t="s">
        <v>2</v>
      </c>
      <c r="I33" s="1" t="s">
        <v>22</v>
      </c>
      <c r="J33" s="2" t="s">
        <v>11</v>
      </c>
      <c r="K33" s="1" t="s">
        <v>14</v>
      </c>
    </row>
    <row r="34" spans="6:11" x14ac:dyDescent="0.25">
      <c r="F34" s="32" t="s">
        <v>916</v>
      </c>
      <c r="G34" s="32"/>
      <c r="H34" s="32"/>
      <c r="I34" s="32"/>
      <c r="J34" s="32"/>
      <c r="K34" s="32"/>
    </row>
    <row r="35" spans="6:11" x14ac:dyDescent="0.25">
      <c r="F35" s="32"/>
      <c r="G35" s="32"/>
      <c r="H35" s="32"/>
      <c r="I35" s="32"/>
      <c r="J35" s="32"/>
      <c r="K35" s="32"/>
    </row>
    <row r="36" spans="6:11" x14ac:dyDescent="0.25">
      <c r="F36" s="32"/>
      <c r="G36" s="32"/>
      <c r="H36" s="32"/>
      <c r="I36" s="32"/>
      <c r="J36" s="32"/>
      <c r="K36" s="32"/>
    </row>
    <row r="37" spans="6:11" x14ac:dyDescent="0.25">
      <c r="F37" s="32"/>
      <c r="G37" s="32"/>
      <c r="H37" s="32"/>
      <c r="I37" s="32"/>
      <c r="J37" s="32"/>
      <c r="K37" s="32"/>
    </row>
    <row r="38" spans="6:11" x14ac:dyDescent="0.25">
      <c r="F38" s="2" t="s">
        <v>0</v>
      </c>
      <c r="G38" s="4">
        <v>46254</v>
      </c>
      <c r="H38" s="2" t="s">
        <v>2</v>
      </c>
      <c r="I38" s="1" t="s">
        <v>47</v>
      </c>
      <c r="J38" s="2" t="s">
        <v>11</v>
      </c>
      <c r="K38" s="1" t="s">
        <v>14</v>
      </c>
    </row>
    <row r="39" spans="6:11" x14ac:dyDescent="0.25">
      <c r="F39" s="32" t="s">
        <v>946</v>
      </c>
      <c r="G39" s="32"/>
      <c r="H39" s="32"/>
      <c r="I39" s="32"/>
      <c r="J39" s="32"/>
      <c r="K39" s="32"/>
    </row>
    <row r="40" spans="6:11" x14ac:dyDescent="0.25">
      <c r="F40" s="32"/>
      <c r="G40" s="32"/>
      <c r="H40" s="32"/>
      <c r="I40" s="32"/>
      <c r="J40" s="32"/>
      <c r="K40" s="32"/>
    </row>
    <row r="41" spans="6:11" x14ac:dyDescent="0.25">
      <c r="F41" s="32"/>
      <c r="G41" s="32"/>
      <c r="H41" s="32"/>
      <c r="I41" s="32"/>
      <c r="J41" s="32"/>
      <c r="K41" s="32"/>
    </row>
    <row r="42" spans="6:11" x14ac:dyDescent="0.25">
      <c r="F42" s="32"/>
      <c r="G42" s="32"/>
      <c r="H42" s="32"/>
      <c r="I42" s="32"/>
      <c r="J42" s="32"/>
      <c r="K42" s="32"/>
    </row>
    <row r="43" spans="6:11" x14ac:dyDescent="0.25">
      <c r="F43" s="2" t="s">
        <v>0</v>
      </c>
      <c r="G43" s="4">
        <v>46256</v>
      </c>
      <c r="H43" s="2" t="s">
        <v>2</v>
      </c>
      <c r="I43" s="1" t="s">
        <v>47</v>
      </c>
      <c r="J43" s="2" t="s">
        <v>11</v>
      </c>
      <c r="K43" s="1" t="s">
        <v>14</v>
      </c>
    </row>
    <row r="44" spans="6:11" x14ac:dyDescent="0.25">
      <c r="F44" s="32" t="s">
        <v>955</v>
      </c>
      <c r="G44" s="32"/>
      <c r="H44" s="32"/>
      <c r="I44" s="32"/>
      <c r="J44" s="32"/>
      <c r="K44" s="32"/>
    </row>
    <row r="45" spans="6:11" x14ac:dyDescent="0.25">
      <c r="F45" s="32"/>
      <c r="G45" s="32"/>
      <c r="H45" s="32"/>
      <c r="I45" s="32"/>
      <c r="J45" s="32"/>
      <c r="K45" s="32"/>
    </row>
    <row r="46" spans="6:11" x14ac:dyDescent="0.25">
      <c r="F46" s="32"/>
      <c r="G46" s="32"/>
      <c r="H46" s="32"/>
      <c r="I46" s="32"/>
      <c r="J46" s="32"/>
      <c r="K46" s="32"/>
    </row>
    <row r="47" spans="6:11" x14ac:dyDescent="0.25">
      <c r="F47" s="2" t="s">
        <v>0</v>
      </c>
      <c r="G47" s="4">
        <v>46272</v>
      </c>
      <c r="H47" s="2" t="s">
        <v>2</v>
      </c>
      <c r="I47" s="1" t="s">
        <v>22</v>
      </c>
      <c r="J47" s="2" t="s">
        <v>11</v>
      </c>
      <c r="K47" s="1" t="s">
        <v>14</v>
      </c>
    </row>
    <row r="48" spans="6:11" x14ac:dyDescent="0.25">
      <c r="F48" s="32" t="s">
        <v>1098</v>
      </c>
      <c r="G48" s="32"/>
      <c r="H48" s="32"/>
      <c r="I48" s="32"/>
      <c r="J48" s="32"/>
      <c r="K48" s="32"/>
    </row>
    <row r="49" spans="6:11" x14ac:dyDescent="0.25">
      <c r="F49" s="32"/>
      <c r="G49" s="32"/>
      <c r="H49" s="32"/>
      <c r="I49" s="32"/>
      <c r="J49" s="32"/>
      <c r="K49" s="32"/>
    </row>
    <row r="50" spans="6:11" x14ac:dyDescent="0.25">
      <c r="F50" s="32"/>
      <c r="G50" s="32"/>
      <c r="H50" s="32"/>
      <c r="I50" s="32"/>
      <c r="J50" s="32"/>
      <c r="K50" s="32"/>
    </row>
    <row r="51" spans="6:11" x14ac:dyDescent="0.25">
      <c r="F51" s="2" t="s">
        <v>0</v>
      </c>
      <c r="G51" s="4">
        <v>46283</v>
      </c>
      <c r="H51" s="2" t="s">
        <v>2</v>
      </c>
      <c r="I51" s="1" t="s">
        <v>47</v>
      </c>
      <c r="J51" s="2" t="s">
        <v>11</v>
      </c>
      <c r="K51" s="1" t="s">
        <v>14</v>
      </c>
    </row>
    <row r="52" spans="6:11" x14ac:dyDescent="0.25">
      <c r="F52" s="32" t="s">
        <v>1209</v>
      </c>
      <c r="G52" s="32"/>
      <c r="H52" s="32"/>
      <c r="I52" s="32"/>
      <c r="J52" s="32"/>
      <c r="K52" s="32"/>
    </row>
    <row r="53" spans="6:11" x14ac:dyDescent="0.25">
      <c r="F53" s="32"/>
      <c r="G53" s="32"/>
      <c r="H53" s="32"/>
      <c r="I53" s="32"/>
      <c r="J53" s="32"/>
      <c r="K53" s="32"/>
    </row>
    <row r="54" spans="6:11" x14ac:dyDescent="0.25">
      <c r="F54" s="32"/>
      <c r="G54" s="32"/>
      <c r="H54" s="32"/>
      <c r="I54" s="32"/>
      <c r="J54" s="32"/>
      <c r="K54" s="32"/>
    </row>
  </sheetData>
  <mergeCells count="16">
    <mergeCell ref="F52:K54"/>
    <mergeCell ref="F48:K50"/>
    <mergeCell ref="F39:K42"/>
    <mergeCell ref="F44:K46"/>
    <mergeCell ref="F34:K37"/>
    <mergeCell ref="U1:V1"/>
    <mergeCell ref="F7:K9"/>
    <mergeCell ref="R1:S1"/>
    <mergeCell ref="F3:K5"/>
    <mergeCell ref="F1:K1"/>
    <mergeCell ref="M1:P1"/>
    <mergeCell ref="F29:K32"/>
    <mergeCell ref="F23:K27"/>
    <mergeCell ref="F19:K21"/>
    <mergeCell ref="F15:K17"/>
    <mergeCell ref="F11:K1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D3CC-FE07-4BA5-808E-8D489BA9EE6C}">
  <dimension ref="A1:V59"/>
  <sheetViews>
    <sheetView topLeftCell="A8" workbookViewId="0">
      <selection activeCell="A18" sqref="A18:D18"/>
    </sheetView>
  </sheetViews>
  <sheetFormatPr baseColWidth="10" defaultRowHeight="15" x14ac:dyDescent="0.25"/>
  <cols>
    <col min="1" max="1" width="11.5703125" style="7"/>
    <col min="2" max="2" width="25.7109375" style="7" bestFit="1" customWidth="1"/>
    <col min="3" max="3" width="11.5703125" style="7"/>
    <col min="4" max="4" width="24.7109375" style="7" bestFit="1" customWidth="1"/>
    <col min="18" max="18" width="21.28515625" bestFit="1" customWidth="1"/>
    <col min="19" max="19" width="18.285156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ht="14.45" customHeight="1" x14ac:dyDescent="0.25">
      <c r="A2" s="6">
        <v>46196</v>
      </c>
      <c r="B2" s="7" t="s">
        <v>8</v>
      </c>
      <c r="C2" s="7" t="s">
        <v>9</v>
      </c>
      <c r="D2" s="7" t="s">
        <v>10</v>
      </c>
      <c r="F2" s="2" t="s">
        <v>0</v>
      </c>
      <c r="G2" s="4">
        <v>46196</v>
      </c>
      <c r="H2" s="2" t="s">
        <v>2</v>
      </c>
      <c r="I2" s="1" t="s">
        <v>22</v>
      </c>
      <c r="J2" s="2" t="s">
        <v>11</v>
      </c>
      <c r="K2" s="1" t="s">
        <v>14</v>
      </c>
      <c r="M2" s="2" t="s">
        <v>0</v>
      </c>
      <c r="N2" s="1"/>
      <c r="O2" s="2" t="s">
        <v>6</v>
      </c>
      <c r="P2" s="1"/>
      <c r="R2" s="2" t="s">
        <v>11</v>
      </c>
      <c r="S2" s="8" t="s">
        <v>196</v>
      </c>
      <c r="U2" s="3" t="s">
        <v>0</v>
      </c>
      <c r="V2" s="3" t="s">
        <v>88</v>
      </c>
    </row>
    <row r="3" spans="1:22" x14ac:dyDescent="0.25">
      <c r="A3" s="6">
        <v>46196</v>
      </c>
      <c r="B3" s="7" t="s">
        <v>30</v>
      </c>
      <c r="C3" s="7" t="s">
        <v>31</v>
      </c>
      <c r="D3" s="7" t="s">
        <v>32</v>
      </c>
      <c r="F3" s="37" t="s">
        <v>42</v>
      </c>
      <c r="G3" s="37"/>
      <c r="H3" s="37"/>
      <c r="I3" s="37"/>
      <c r="J3" s="37"/>
      <c r="K3" s="37"/>
      <c r="R3" s="2" t="s">
        <v>76</v>
      </c>
      <c r="S3" s="8" t="s">
        <v>197</v>
      </c>
    </row>
    <row r="4" spans="1:22" x14ac:dyDescent="0.25">
      <c r="A4" s="6">
        <v>46207</v>
      </c>
      <c r="B4" s="7" t="s">
        <v>420</v>
      </c>
      <c r="C4" s="7" t="s">
        <v>418</v>
      </c>
      <c r="D4" s="7" t="s">
        <v>56</v>
      </c>
      <c r="F4" s="37"/>
      <c r="G4" s="37"/>
      <c r="H4" s="37"/>
      <c r="I4" s="37"/>
      <c r="J4" s="37"/>
      <c r="K4" s="37"/>
      <c r="R4" s="2" t="s">
        <v>77</v>
      </c>
      <c r="S4" s="8"/>
    </row>
    <row r="5" spans="1:22" x14ac:dyDescent="0.25">
      <c r="A5" s="6">
        <v>46211</v>
      </c>
      <c r="B5" s="7" t="s">
        <v>8</v>
      </c>
      <c r="C5" s="7" t="s">
        <v>9</v>
      </c>
      <c r="D5" s="7" t="s">
        <v>445</v>
      </c>
      <c r="F5" s="2" t="s">
        <v>0</v>
      </c>
      <c r="G5" s="4">
        <v>46207</v>
      </c>
      <c r="H5" s="2" t="s">
        <v>2</v>
      </c>
      <c r="I5" s="1" t="s">
        <v>418</v>
      </c>
      <c r="J5" s="2" t="s">
        <v>11</v>
      </c>
      <c r="K5" s="1" t="s">
        <v>14</v>
      </c>
      <c r="R5" s="2" t="s">
        <v>78</v>
      </c>
      <c r="S5" s="8" t="s">
        <v>101</v>
      </c>
    </row>
    <row r="6" spans="1:22" ht="14.45" customHeight="1" x14ac:dyDescent="0.25">
      <c r="A6" s="6">
        <v>46224</v>
      </c>
      <c r="B6" s="7" t="s">
        <v>573</v>
      </c>
      <c r="C6" s="7" t="s">
        <v>9</v>
      </c>
      <c r="D6" s="7" t="s">
        <v>574</v>
      </c>
      <c r="F6" s="37" t="s">
        <v>419</v>
      </c>
      <c r="G6" s="37"/>
      <c r="H6" s="37"/>
      <c r="I6" s="37"/>
      <c r="J6" s="37"/>
      <c r="K6" s="37"/>
      <c r="R6" s="2" t="s">
        <v>92</v>
      </c>
      <c r="S6" s="8" t="s">
        <v>102</v>
      </c>
    </row>
    <row r="7" spans="1:22" x14ac:dyDescent="0.25">
      <c r="A7" s="6">
        <v>46224</v>
      </c>
      <c r="B7" s="7" t="s">
        <v>30</v>
      </c>
      <c r="C7" s="7" t="s">
        <v>31</v>
      </c>
      <c r="D7" s="7" t="s">
        <v>538</v>
      </c>
      <c r="F7" s="37"/>
      <c r="G7" s="37"/>
      <c r="H7" s="37"/>
      <c r="I7" s="37"/>
      <c r="J7" s="37"/>
      <c r="K7" s="37"/>
      <c r="R7" s="2" t="s">
        <v>80</v>
      </c>
      <c r="S7" s="8" t="s">
        <v>123</v>
      </c>
    </row>
    <row r="8" spans="1:22" x14ac:dyDescent="0.25">
      <c r="A8" s="6">
        <v>46229</v>
      </c>
      <c r="B8" s="7" t="s">
        <v>651</v>
      </c>
      <c r="C8" s="7" t="s">
        <v>9</v>
      </c>
      <c r="D8" s="7" t="s">
        <v>56</v>
      </c>
      <c r="F8" s="37"/>
      <c r="G8" s="37"/>
      <c r="H8" s="37"/>
      <c r="I8" s="37"/>
      <c r="J8" s="37"/>
      <c r="K8" s="37"/>
      <c r="R8" s="2" t="s">
        <v>81</v>
      </c>
      <c r="S8" s="8" t="s">
        <v>198</v>
      </c>
    </row>
    <row r="9" spans="1:22" x14ac:dyDescent="0.25">
      <c r="A9" s="6">
        <v>46233</v>
      </c>
      <c r="B9" s="7" t="s">
        <v>702</v>
      </c>
      <c r="C9" s="7" t="s">
        <v>9</v>
      </c>
      <c r="D9" s="7" t="s">
        <v>56</v>
      </c>
      <c r="F9" s="37"/>
      <c r="G9" s="37"/>
      <c r="H9" s="37"/>
      <c r="I9" s="37"/>
      <c r="J9" s="37"/>
      <c r="K9" s="37"/>
      <c r="R9" s="2" t="s">
        <v>82</v>
      </c>
      <c r="S9" s="8">
        <f>S10+S11</f>
        <v>0.62980000000000003</v>
      </c>
    </row>
    <row r="10" spans="1:22" x14ac:dyDescent="0.25">
      <c r="A10" s="6">
        <v>46234</v>
      </c>
      <c r="B10" s="7" t="s">
        <v>8</v>
      </c>
      <c r="C10" s="7" t="s">
        <v>22</v>
      </c>
      <c r="D10" s="7" t="s">
        <v>718</v>
      </c>
      <c r="F10" s="2" t="s">
        <v>0</v>
      </c>
      <c r="G10" s="4">
        <v>46211</v>
      </c>
      <c r="H10" s="2" t="s">
        <v>2</v>
      </c>
      <c r="I10" s="1" t="s">
        <v>22</v>
      </c>
      <c r="J10" s="2" t="s">
        <v>11</v>
      </c>
      <c r="K10" s="1" t="s">
        <v>14</v>
      </c>
      <c r="R10" s="2" t="s">
        <v>83</v>
      </c>
      <c r="S10" s="10">
        <v>0.62980000000000003</v>
      </c>
    </row>
    <row r="11" spans="1:22" ht="14.45" customHeight="1" x14ac:dyDescent="0.25">
      <c r="A11" s="6">
        <v>46241</v>
      </c>
      <c r="B11" s="7" t="s">
        <v>799</v>
      </c>
      <c r="C11" s="7" t="s">
        <v>22</v>
      </c>
      <c r="D11" s="7" t="s">
        <v>802</v>
      </c>
      <c r="F11" s="37" t="s">
        <v>457</v>
      </c>
      <c r="G11" s="37"/>
      <c r="H11" s="37"/>
      <c r="I11" s="37"/>
      <c r="J11" s="37"/>
      <c r="K11" s="37"/>
      <c r="R11" s="2" t="s">
        <v>84</v>
      </c>
      <c r="S11" s="10">
        <v>0</v>
      </c>
    </row>
    <row r="12" spans="1:22" x14ac:dyDescent="0.25">
      <c r="A12" s="6">
        <v>46247</v>
      </c>
      <c r="B12" s="7" t="s">
        <v>30</v>
      </c>
      <c r="C12" s="7" t="s">
        <v>63</v>
      </c>
      <c r="D12" s="7" t="s">
        <v>869</v>
      </c>
      <c r="F12" s="37"/>
      <c r="G12" s="37"/>
      <c r="H12" s="37"/>
      <c r="I12" s="37"/>
      <c r="J12" s="37"/>
      <c r="K12" s="37"/>
      <c r="R12" s="2" t="s">
        <v>115</v>
      </c>
      <c r="S12" s="8"/>
    </row>
    <row r="13" spans="1:22" x14ac:dyDescent="0.25">
      <c r="A13" s="6">
        <v>46247</v>
      </c>
      <c r="B13" s="7" t="s">
        <v>874</v>
      </c>
      <c r="C13" s="7" t="s">
        <v>22</v>
      </c>
      <c r="D13" s="7" t="s">
        <v>56</v>
      </c>
      <c r="F13" s="37"/>
      <c r="G13" s="37"/>
      <c r="H13" s="37"/>
      <c r="I13" s="37"/>
      <c r="J13" s="37"/>
      <c r="K13" s="37"/>
      <c r="R13" s="2" t="s">
        <v>85</v>
      </c>
      <c r="S13" s="8">
        <f>S10</f>
        <v>0.62980000000000003</v>
      </c>
    </row>
    <row r="14" spans="1:22" x14ac:dyDescent="0.25">
      <c r="A14" s="6">
        <v>46252</v>
      </c>
      <c r="B14" s="7" t="s">
        <v>8</v>
      </c>
      <c r="C14" s="7" t="s">
        <v>22</v>
      </c>
      <c r="D14" s="7" t="s">
        <v>915</v>
      </c>
      <c r="F14" s="2" t="s">
        <v>0</v>
      </c>
      <c r="G14" s="4">
        <v>46224</v>
      </c>
      <c r="H14" s="2" t="s">
        <v>2</v>
      </c>
      <c r="I14" s="1" t="s">
        <v>22</v>
      </c>
      <c r="J14" s="2" t="s">
        <v>11</v>
      </c>
      <c r="K14" s="1" t="s">
        <v>14</v>
      </c>
      <c r="R14" s="2" t="s">
        <v>86</v>
      </c>
      <c r="S14" s="10">
        <f>S13*12.032</f>
        <v>7.5777536000000003</v>
      </c>
    </row>
    <row r="15" spans="1:22" x14ac:dyDescent="0.25">
      <c r="A15" s="6">
        <v>46256</v>
      </c>
      <c r="B15" s="7" t="s">
        <v>343</v>
      </c>
      <c r="C15" s="7" t="s">
        <v>344</v>
      </c>
      <c r="D15" s="7" t="s">
        <v>1029</v>
      </c>
      <c r="F15" s="37" t="s">
        <v>580</v>
      </c>
      <c r="G15" s="37"/>
      <c r="H15" s="37"/>
      <c r="I15" s="37"/>
      <c r="J15" s="37"/>
      <c r="K15" s="37"/>
    </row>
    <row r="16" spans="1:22" x14ac:dyDescent="0.25">
      <c r="A16" s="6">
        <v>46272</v>
      </c>
      <c r="B16" s="7" t="s">
        <v>1096</v>
      </c>
      <c r="C16" s="7" t="s">
        <v>9</v>
      </c>
      <c r="D16" s="7" t="s">
        <v>1092</v>
      </c>
      <c r="F16" s="37"/>
      <c r="G16" s="37"/>
      <c r="H16" s="37"/>
      <c r="I16" s="37"/>
      <c r="J16" s="37"/>
      <c r="K16" s="37"/>
    </row>
    <row r="17" spans="1:11" x14ac:dyDescent="0.25">
      <c r="A17" s="6">
        <v>46279</v>
      </c>
      <c r="B17" s="7" t="s">
        <v>1152</v>
      </c>
      <c r="C17" s="7" t="s">
        <v>22</v>
      </c>
      <c r="D17" s="7" t="s">
        <v>56</v>
      </c>
      <c r="F17" s="2" t="s">
        <v>0</v>
      </c>
      <c r="G17" s="4">
        <v>46229</v>
      </c>
      <c r="H17" s="2" t="s">
        <v>2</v>
      </c>
      <c r="I17" s="1" t="s">
        <v>22</v>
      </c>
      <c r="J17" s="2" t="s">
        <v>11</v>
      </c>
      <c r="K17" s="1" t="s">
        <v>14</v>
      </c>
    </row>
    <row r="18" spans="1:11" ht="14.45" customHeight="1" x14ac:dyDescent="0.25">
      <c r="A18" s="6">
        <v>46280</v>
      </c>
      <c r="B18" s="7" t="s">
        <v>1175</v>
      </c>
      <c r="C18" s="7" t="s">
        <v>588</v>
      </c>
      <c r="D18" s="7" t="s">
        <v>1159</v>
      </c>
      <c r="F18" s="37" t="s">
        <v>653</v>
      </c>
      <c r="G18" s="37"/>
      <c r="H18" s="37"/>
      <c r="I18" s="37"/>
      <c r="J18" s="37"/>
      <c r="K18" s="37"/>
    </row>
    <row r="19" spans="1:11" x14ac:dyDescent="0.25">
      <c r="F19" s="37"/>
      <c r="G19" s="37"/>
      <c r="H19" s="37"/>
      <c r="I19" s="37"/>
      <c r="J19" s="37"/>
      <c r="K19" s="37"/>
    </row>
    <row r="20" spans="1:11" x14ac:dyDescent="0.25">
      <c r="F20" s="37"/>
      <c r="G20" s="37"/>
      <c r="H20" s="37"/>
      <c r="I20" s="37"/>
      <c r="J20" s="37"/>
      <c r="K20" s="37"/>
    </row>
    <row r="21" spans="1:11" x14ac:dyDescent="0.25">
      <c r="F21" s="37"/>
      <c r="G21" s="37"/>
      <c r="H21" s="37"/>
      <c r="I21" s="37"/>
      <c r="J21" s="37"/>
      <c r="K21" s="37"/>
    </row>
    <row r="22" spans="1:11" x14ac:dyDescent="0.25">
      <c r="F22" s="2" t="s">
        <v>0</v>
      </c>
      <c r="G22" s="4">
        <v>46233</v>
      </c>
      <c r="H22" s="2" t="s">
        <v>2</v>
      </c>
      <c r="I22" s="1" t="s">
        <v>22</v>
      </c>
      <c r="J22" s="2" t="s">
        <v>11</v>
      </c>
      <c r="K22" s="1" t="s">
        <v>14</v>
      </c>
    </row>
    <row r="23" spans="1:11" ht="14.45" customHeight="1" x14ac:dyDescent="0.25">
      <c r="F23" s="37" t="s">
        <v>703</v>
      </c>
      <c r="G23" s="37"/>
      <c r="H23" s="37"/>
      <c r="I23" s="37"/>
      <c r="J23" s="37"/>
      <c r="K23" s="37"/>
    </row>
    <row r="24" spans="1:11" x14ac:dyDescent="0.25">
      <c r="F24" s="37"/>
      <c r="G24" s="37"/>
      <c r="H24" s="37"/>
      <c r="I24" s="37"/>
      <c r="J24" s="37"/>
      <c r="K24" s="37"/>
    </row>
    <row r="25" spans="1:11" x14ac:dyDescent="0.25">
      <c r="F25" s="37"/>
      <c r="G25" s="37"/>
      <c r="H25" s="37"/>
      <c r="I25" s="37"/>
      <c r="J25" s="37"/>
      <c r="K25" s="37"/>
    </row>
    <row r="26" spans="1:11" x14ac:dyDescent="0.25">
      <c r="F26" s="2" t="s">
        <v>0</v>
      </c>
      <c r="G26" s="4">
        <v>46234</v>
      </c>
      <c r="H26" s="2" t="s">
        <v>2</v>
      </c>
      <c r="I26" s="1" t="s">
        <v>22</v>
      </c>
      <c r="J26" s="2" t="s">
        <v>11</v>
      </c>
      <c r="K26" s="1" t="s">
        <v>14</v>
      </c>
    </row>
    <row r="27" spans="1:11" x14ac:dyDescent="0.25">
      <c r="F27" s="32" t="s">
        <v>637</v>
      </c>
      <c r="G27" s="32"/>
      <c r="H27" s="32"/>
      <c r="I27" s="32"/>
      <c r="J27" s="32"/>
      <c r="K27" s="32"/>
    </row>
    <row r="28" spans="1:11" x14ac:dyDescent="0.25">
      <c r="F28" s="32"/>
      <c r="G28" s="32"/>
      <c r="H28" s="32"/>
      <c r="I28" s="32"/>
      <c r="J28" s="32"/>
      <c r="K28" s="32"/>
    </row>
    <row r="29" spans="1:11" x14ac:dyDescent="0.25">
      <c r="F29" s="2" t="s">
        <v>0</v>
      </c>
      <c r="G29" s="4">
        <v>46240</v>
      </c>
      <c r="H29" s="2" t="s">
        <v>2</v>
      </c>
      <c r="I29" s="1" t="s">
        <v>47</v>
      </c>
      <c r="J29" s="2" t="s">
        <v>11</v>
      </c>
      <c r="K29" s="1" t="s">
        <v>14</v>
      </c>
    </row>
    <row r="30" spans="1:11" x14ac:dyDescent="0.25">
      <c r="F30" s="32" t="s">
        <v>784</v>
      </c>
      <c r="G30" s="32"/>
      <c r="H30" s="32"/>
      <c r="I30" s="32"/>
      <c r="J30" s="32"/>
      <c r="K30" s="32"/>
    </row>
    <row r="31" spans="1:11" x14ac:dyDescent="0.25">
      <c r="F31" s="32"/>
      <c r="G31" s="32"/>
      <c r="H31" s="32"/>
      <c r="I31" s="32"/>
      <c r="J31" s="32"/>
      <c r="K31" s="32"/>
    </row>
    <row r="32" spans="1:11" x14ac:dyDescent="0.25">
      <c r="F32" s="2" t="s">
        <v>0</v>
      </c>
      <c r="G32" s="4">
        <v>46241</v>
      </c>
      <c r="H32" s="2" t="s">
        <v>2</v>
      </c>
      <c r="I32" s="1" t="s">
        <v>350</v>
      </c>
      <c r="J32" s="2" t="s">
        <v>11</v>
      </c>
      <c r="K32" s="1" t="s">
        <v>14</v>
      </c>
    </row>
    <row r="33" spans="6:11" ht="14.45" customHeight="1" x14ac:dyDescent="0.25">
      <c r="F33" s="32" t="s">
        <v>803</v>
      </c>
      <c r="G33" s="32"/>
      <c r="H33" s="32"/>
      <c r="I33" s="32"/>
      <c r="J33" s="32"/>
      <c r="K33" s="32"/>
    </row>
    <row r="34" spans="6:11" x14ac:dyDescent="0.25">
      <c r="F34" s="32"/>
      <c r="G34" s="32"/>
      <c r="H34" s="32"/>
      <c r="I34" s="32"/>
      <c r="J34" s="32"/>
      <c r="K34" s="32"/>
    </row>
    <row r="35" spans="6:11" x14ac:dyDescent="0.25">
      <c r="F35" s="32"/>
      <c r="G35" s="32"/>
      <c r="H35" s="32"/>
      <c r="I35" s="32"/>
      <c r="J35" s="32"/>
      <c r="K35" s="32"/>
    </row>
    <row r="36" spans="6:11" x14ac:dyDescent="0.25">
      <c r="F36" s="32"/>
      <c r="G36" s="32"/>
      <c r="H36" s="32"/>
      <c r="I36" s="32"/>
      <c r="J36" s="32"/>
      <c r="K36" s="32"/>
    </row>
    <row r="37" spans="6:11" x14ac:dyDescent="0.25">
      <c r="F37" s="32"/>
      <c r="G37" s="32"/>
      <c r="H37" s="32"/>
      <c r="I37" s="32"/>
      <c r="J37" s="32"/>
      <c r="K37" s="32"/>
    </row>
    <row r="38" spans="6:11" x14ac:dyDescent="0.25">
      <c r="F38" s="2" t="s">
        <v>0</v>
      </c>
      <c r="G38" s="4">
        <v>46247</v>
      </c>
      <c r="H38" s="2" t="s">
        <v>2</v>
      </c>
      <c r="I38" s="1" t="s">
        <v>22</v>
      </c>
      <c r="J38" s="2" t="s">
        <v>11</v>
      </c>
      <c r="K38" s="1" t="s">
        <v>14</v>
      </c>
    </row>
    <row r="39" spans="6:11" ht="14.45" customHeight="1" x14ac:dyDescent="0.25">
      <c r="F39" s="32" t="s">
        <v>888</v>
      </c>
      <c r="G39" s="32"/>
      <c r="H39" s="32"/>
      <c r="I39" s="32"/>
      <c r="J39" s="32"/>
      <c r="K39" s="32"/>
    </row>
    <row r="40" spans="6:11" x14ac:dyDescent="0.25">
      <c r="F40" s="32"/>
      <c r="G40" s="32"/>
      <c r="H40" s="32"/>
      <c r="I40" s="32"/>
      <c r="J40" s="32"/>
      <c r="K40" s="32"/>
    </row>
    <row r="41" spans="6:11" x14ac:dyDescent="0.25">
      <c r="F41" s="32"/>
      <c r="G41" s="32"/>
      <c r="H41" s="32"/>
      <c r="I41" s="32"/>
      <c r="J41" s="32"/>
      <c r="K41" s="32"/>
    </row>
    <row r="42" spans="6:11" x14ac:dyDescent="0.25">
      <c r="F42" s="2" t="s">
        <v>0</v>
      </c>
      <c r="G42" s="4">
        <v>46252</v>
      </c>
      <c r="H42" s="2" t="s">
        <v>2</v>
      </c>
      <c r="I42" s="1" t="s">
        <v>22</v>
      </c>
      <c r="J42" s="2" t="s">
        <v>11</v>
      </c>
      <c r="K42" s="1" t="s">
        <v>14</v>
      </c>
    </row>
    <row r="43" spans="6:11" x14ac:dyDescent="0.25">
      <c r="F43" s="32" t="s">
        <v>914</v>
      </c>
      <c r="G43" s="32"/>
      <c r="H43" s="32"/>
      <c r="I43" s="32"/>
      <c r="J43" s="32"/>
      <c r="K43" s="32"/>
    </row>
    <row r="44" spans="6:11" x14ac:dyDescent="0.25">
      <c r="F44" s="32"/>
      <c r="G44" s="32"/>
      <c r="H44" s="32"/>
      <c r="I44" s="32"/>
      <c r="J44" s="32"/>
      <c r="K44" s="32"/>
    </row>
    <row r="45" spans="6:11" x14ac:dyDescent="0.25">
      <c r="F45" s="32"/>
      <c r="G45" s="32"/>
      <c r="H45" s="32"/>
      <c r="I45" s="32"/>
      <c r="J45" s="32"/>
      <c r="K45" s="32"/>
    </row>
    <row r="46" spans="6:11" x14ac:dyDescent="0.25">
      <c r="F46" s="2" t="s">
        <v>0</v>
      </c>
      <c r="G46" s="4">
        <v>46272</v>
      </c>
      <c r="H46" s="2" t="s">
        <v>2</v>
      </c>
      <c r="I46" s="1" t="s">
        <v>22</v>
      </c>
      <c r="J46" s="2" t="s">
        <v>11</v>
      </c>
      <c r="K46" s="1" t="s">
        <v>14</v>
      </c>
    </row>
    <row r="47" spans="6:11" ht="14.45" customHeight="1" x14ac:dyDescent="0.25">
      <c r="F47" s="32" t="s">
        <v>1097</v>
      </c>
      <c r="G47" s="32"/>
      <c r="H47" s="32"/>
      <c r="I47" s="32"/>
      <c r="J47" s="32"/>
      <c r="K47" s="32"/>
    </row>
    <row r="48" spans="6:11" x14ac:dyDescent="0.25">
      <c r="F48" s="32"/>
      <c r="G48" s="32"/>
      <c r="H48" s="32"/>
      <c r="I48" s="32"/>
      <c r="J48" s="32"/>
      <c r="K48" s="32"/>
    </row>
    <row r="49" spans="6:11" x14ac:dyDescent="0.25">
      <c r="F49" s="32"/>
      <c r="G49" s="32"/>
      <c r="H49" s="32"/>
      <c r="I49" s="32"/>
      <c r="J49" s="32"/>
      <c r="K49" s="32"/>
    </row>
    <row r="50" spans="6:11" x14ac:dyDescent="0.25">
      <c r="F50" s="32"/>
      <c r="G50" s="32"/>
      <c r="H50" s="32"/>
      <c r="I50" s="32"/>
      <c r="J50" s="32"/>
      <c r="K50" s="32"/>
    </row>
    <row r="51" spans="6:11" x14ac:dyDescent="0.25">
      <c r="F51" s="32"/>
      <c r="G51" s="32"/>
      <c r="H51" s="32"/>
      <c r="I51" s="32"/>
      <c r="J51" s="32"/>
      <c r="K51" s="32"/>
    </row>
    <row r="52" spans="6:11" x14ac:dyDescent="0.25">
      <c r="F52" s="2" t="s">
        <v>0</v>
      </c>
      <c r="G52" s="4">
        <v>46274</v>
      </c>
      <c r="H52" s="2" t="s">
        <v>2</v>
      </c>
      <c r="I52" s="1" t="s">
        <v>47</v>
      </c>
      <c r="J52" s="2" t="s">
        <v>11</v>
      </c>
      <c r="K52" s="1" t="s">
        <v>14</v>
      </c>
    </row>
    <row r="53" spans="6:11" x14ac:dyDescent="0.25">
      <c r="F53" s="32" t="s">
        <v>1119</v>
      </c>
      <c r="G53" s="32"/>
      <c r="H53" s="32"/>
      <c r="I53" s="32"/>
      <c r="J53" s="32"/>
      <c r="K53" s="32"/>
    </row>
    <row r="54" spans="6:11" x14ac:dyDescent="0.25">
      <c r="F54" s="32"/>
      <c r="G54" s="32"/>
      <c r="H54" s="32"/>
      <c r="I54" s="32"/>
      <c r="J54" s="32"/>
      <c r="K54" s="32"/>
    </row>
    <row r="55" spans="6:11" x14ac:dyDescent="0.25">
      <c r="F55" s="2" t="s">
        <v>0</v>
      </c>
      <c r="G55" s="4">
        <v>46279</v>
      </c>
      <c r="H55" s="2" t="s">
        <v>2</v>
      </c>
      <c r="I55" s="1" t="s">
        <v>22</v>
      </c>
      <c r="J55" s="2" t="s">
        <v>11</v>
      </c>
      <c r="K55" s="1" t="s">
        <v>14</v>
      </c>
    </row>
    <row r="56" spans="6:11" ht="14.45" customHeight="1" x14ac:dyDescent="0.25">
      <c r="F56" s="32" t="s">
        <v>1153</v>
      </c>
      <c r="G56" s="32"/>
      <c r="H56" s="32"/>
      <c r="I56" s="32"/>
      <c r="J56" s="32"/>
      <c r="K56" s="32"/>
    </row>
    <row r="57" spans="6:11" x14ac:dyDescent="0.25">
      <c r="F57" s="32"/>
      <c r="G57" s="32"/>
      <c r="H57" s="32"/>
      <c r="I57" s="32"/>
      <c r="J57" s="32"/>
      <c r="K57" s="32"/>
    </row>
    <row r="58" spans="6:11" x14ac:dyDescent="0.25">
      <c r="F58" s="32"/>
      <c r="G58" s="32"/>
      <c r="H58" s="32"/>
      <c r="I58" s="32"/>
      <c r="J58" s="32"/>
      <c r="K58" s="32"/>
    </row>
    <row r="59" spans="6:11" x14ac:dyDescent="0.25">
      <c r="F59" s="32"/>
      <c r="G59" s="32"/>
      <c r="H59" s="32"/>
      <c r="I59" s="32"/>
      <c r="J59" s="32"/>
      <c r="K59" s="32"/>
    </row>
  </sheetData>
  <mergeCells count="18">
    <mergeCell ref="F56:K59"/>
    <mergeCell ref="F53:K54"/>
    <mergeCell ref="F47:K51"/>
    <mergeCell ref="F43:K45"/>
    <mergeCell ref="F39:K41"/>
    <mergeCell ref="F33:K37"/>
    <mergeCell ref="F30:K31"/>
    <mergeCell ref="U1:V1"/>
    <mergeCell ref="F6:K9"/>
    <mergeCell ref="R1:S1"/>
    <mergeCell ref="F3:K4"/>
    <mergeCell ref="F1:K1"/>
    <mergeCell ref="M1:P1"/>
    <mergeCell ref="F27:K28"/>
    <mergeCell ref="F23:K25"/>
    <mergeCell ref="F18:K21"/>
    <mergeCell ref="F15:K16"/>
    <mergeCell ref="F11:K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7DC7-2F26-49B2-8A0B-26204B7F856C}">
  <dimension ref="A1:V62"/>
  <sheetViews>
    <sheetView topLeftCell="A11" workbookViewId="0">
      <selection activeCell="E59" sqref="E59"/>
    </sheetView>
  </sheetViews>
  <sheetFormatPr baseColWidth="10" defaultRowHeight="15" x14ac:dyDescent="0.25"/>
  <cols>
    <col min="1" max="1" width="11.5703125" style="1"/>
    <col min="2" max="2" width="33.140625" style="7" bestFit="1" customWidth="1"/>
    <col min="3" max="3" width="11.5703125" style="7"/>
    <col min="4" max="4" width="24.7109375" style="1" bestFit="1" customWidth="1"/>
    <col min="18" max="18" width="21.28515625" bestFit="1" customWidth="1"/>
    <col min="19" max="19" width="18.285156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ht="14.45" customHeight="1" x14ac:dyDescent="0.25">
      <c r="A2" s="6">
        <v>46198</v>
      </c>
      <c r="B2" s="7" t="s">
        <v>8</v>
      </c>
      <c r="C2" s="7" t="s">
        <v>9</v>
      </c>
      <c r="D2" s="7" t="s">
        <v>10</v>
      </c>
      <c r="F2" s="2" t="s">
        <v>0</v>
      </c>
      <c r="G2" s="4">
        <v>46198</v>
      </c>
      <c r="H2" s="2" t="s">
        <v>2</v>
      </c>
      <c r="I2" s="1" t="s">
        <v>22</v>
      </c>
      <c r="J2" s="2" t="s">
        <v>11</v>
      </c>
      <c r="K2" s="1" t="s">
        <v>14</v>
      </c>
      <c r="M2" s="2" t="s">
        <v>0</v>
      </c>
      <c r="N2" s="1"/>
      <c r="O2" s="2" t="s">
        <v>6</v>
      </c>
      <c r="P2" s="1"/>
      <c r="R2" s="2" t="s">
        <v>11</v>
      </c>
      <c r="S2" s="8" t="s">
        <v>199</v>
      </c>
      <c r="U2" s="3" t="s">
        <v>0</v>
      </c>
      <c r="V2" s="3" t="s">
        <v>88</v>
      </c>
    </row>
    <row r="3" spans="1:22" ht="14.45" customHeight="1" x14ac:dyDescent="0.25">
      <c r="A3" s="6">
        <v>46207</v>
      </c>
      <c r="B3" s="7" t="s">
        <v>420</v>
      </c>
      <c r="C3" s="7" t="s">
        <v>418</v>
      </c>
      <c r="D3" s="7" t="s">
        <v>56</v>
      </c>
      <c r="F3" s="37" t="s">
        <v>72</v>
      </c>
      <c r="G3" s="37"/>
      <c r="H3" s="37"/>
      <c r="I3" s="37"/>
      <c r="J3" s="37"/>
      <c r="K3" s="37"/>
      <c r="R3" s="2" t="s">
        <v>76</v>
      </c>
      <c r="S3" s="8" t="s">
        <v>200</v>
      </c>
    </row>
    <row r="4" spans="1:22" x14ac:dyDescent="0.25">
      <c r="A4" s="6">
        <v>46209</v>
      </c>
      <c r="B4" s="7" t="s">
        <v>30</v>
      </c>
      <c r="C4" s="7" t="s">
        <v>31</v>
      </c>
      <c r="D4" s="7" t="s">
        <v>433</v>
      </c>
      <c r="F4" s="37"/>
      <c r="G4" s="37"/>
      <c r="H4" s="37"/>
      <c r="I4" s="37"/>
      <c r="J4" s="37"/>
      <c r="K4" s="37"/>
      <c r="R4" s="2" t="s">
        <v>77</v>
      </c>
      <c r="S4" s="8"/>
    </row>
    <row r="5" spans="1:22" x14ac:dyDescent="0.25">
      <c r="A5" s="6">
        <v>46211</v>
      </c>
      <c r="B5" s="7" t="s">
        <v>8</v>
      </c>
      <c r="C5" s="7" t="s">
        <v>9</v>
      </c>
      <c r="D5" s="7" t="s">
        <v>445</v>
      </c>
      <c r="F5" s="37"/>
      <c r="G5" s="37"/>
      <c r="H5" s="37"/>
      <c r="I5" s="37"/>
      <c r="J5" s="37"/>
      <c r="K5" s="37"/>
      <c r="R5" s="2" t="s">
        <v>78</v>
      </c>
      <c r="S5" s="8" t="s">
        <v>101</v>
      </c>
    </row>
    <row r="6" spans="1:22" x14ac:dyDescent="0.25">
      <c r="A6" s="6">
        <v>46225</v>
      </c>
      <c r="B6" s="7" t="s">
        <v>438</v>
      </c>
      <c r="C6" s="7" t="s">
        <v>344</v>
      </c>
      <c r="D6" s="7" t="s">
        <v>1029</v>
      </c>
      <c r="F6" s="2" t="s">
        <v>0</v>
      </c>
      <c r="G6" s="4">
        <v>46207</v>
      </c>
      <c r="H6" s="2" t="s">
        <v>2</v>
      </c>
      <c r="I6" s="1" t="s">
        <v>418</v>
      </c>
      <c r="J6" s="2" t="s">
        <v>11</v>
      </c>
      <c r="K6" s="1" t="s">
        <v>14</v>
      </c>
      <c r="R6" s="2" t="s">
        <v>92</v>
      </c>
      <c r="S6" s="8" t="s">
        <v>36</v>
      </c>
    </row>
    <row r="7" spans="1:22" x14ac:dyDescent="0.25">
      <c r="A7" s="6">
        <v>46231</v>
      </c>
      <c r="B7" s="7" t="s">
        <v>30</v>
      </c>
      <c r="C7" s="7" t="s">
        <v>31</v>
      </c>
      <c r="D7" s="7" t="s">
        <v>538</v>
      </c>
      <c r="F7" s="37" t="s">
        <v>421</v>
      </c>
      <c r="G7" s="37"/>
      <c r="H7" s="37"/>
      <c r="I7" s="37"/>
      <c r="J7" s="37"/>
      <c r="K7" s="37"/>
      <c r="R7" s="2" t="s">
        <v>80</v>
      </c>
      <c r="S7" s="8" t="s">
        <v>123</v>
      </c>
    </row>
    <row r="8" spans="1:22" x14ac:dyDescent="0.25">
      <c r="A8" s="6">
        <v>46236</v>
      </c>
      <c r="B8" s="7" t="s">
        <v>444</v>
      </c>
      <c r="C8" s="7" t="s">
        <v>16</v>
      </c>
      <c r="D8" s="7" t="s">
        <v>718</v>
      </c>
      <c r="F8" s="37"/>
      <c r="G8" s="37"/>
      <c r="H8" s="37"/>
      <c r="I8" s="37"/>
      <c r="J8" s="37"/>
      <c r="K8" s="37"/>
      <c r="R8" s="2" t="s">
        <v>81</v>
      </c>
      <c r="S8" s="8"/>
    </row>
    <row r="9" spans="1:22" x14ac:dyDescent="0.25">
      <c r="A9" s="6">
        <v>46237</v>
      </c>
      <c r="B9" s="7" t="s">
        <v>736</v>
      </c>
      <c r="C9" s="7" t="s">
        <v>22</v>
      </c>
      <c r="D9" s="7">
        <v>20</v>
      </c>
      <c r="F9" s="37"/>
      <c r="G9" s="37"/>
      <c r="H9" s="37"/>
      <c r="I9" s="37"/>
      <c r="J9" s="37"/>
      <c r="K9" s="37"/>
      <c r="R9" s="2" t="s">
        <v>82</v>
      </c>
      <c r="S9" s="8">
        <f>S10+S11</f>
        <v>0.32189999999999996</v>
      </c>
    </row>
    <row r="10" spans="1:22" x14ac:dyDescent="0.25">
      <c r="A10" s="6">
        <v>46241</v>
      </c>
      <c r="B10" s="7" t="s">
        <v>799</v>
      </c>
      <c r="C10" s="7" t="s">
        <v>22</v>
      </c>
      <c r="D10" s="7" t="s">
        <v>800</v>
      </c>
      <c r="F10" s="37"/>
      <c r="G10" s="37"/>
      <c r="H10" s="37"/>
      <c r="I10" s="37"/>
      <c r="J10" s="37"/>
      <c r="K10" s="37"/>
      <c r="R10" s="2" t="s">
        <v>83</v>
      </c>
      <c r="S10" s="10">
        <v>0.29499999999999998</v>
      </c>
    </row>
    <row r="11" spans="1:22" x14ac:dyDescent="0.25">
      <c r="A11" s="6">
        <v>46247</v>
      </c>
      <c r="B11" s="7" t="s">
        <v>30</v>
      </c>
      <c r="C11" s="7" t="s">
        <v>63</v>
      </c>
      <c r="D11" s="7" t="s">
        <v>869</v>
      </c>
      <c r="F11" s="2" t="s">
        <v>0</v>
      </c>
      <c r="G11" s="4">
        <v>46211</v>
      </c>
      <c r="H11" s="2" t="s">
        <v>2</v>
      </c>
      <c r="I11" s="1" t="s">
        <v>22</v>
      </c>
      <c r="J11" s="2" t="s">
        <v>11</v>
      </c>
      <c r="K11" s="1" t="s">
        <v>14</v>
      </c>
      <c r="R11" s="2" t="s">
        <v>84</v>
      </c>
      <c r="S11" s="10">
        <v>2.69E-2</v>
      </c>
    </row>
    <row r="12" spans="1:22" x14ac:dyDescent="0.25">
      <c r="A12" s="6">
        <v>46247</v>
      </c>
      <c r="B12" s="7" t="s">
        <v>874</v>
      </c>
      <c r="C12" s="7" t="s">
        <v>22</v>
      </c>
      <c r="D12" s="7" t="s">
        <v>56</v>
      </c>
      <c r="F12" s="37" t="s">
        <v>458</v>
      </c>
      <c r="G12" s="37"/>
      <c r="H12" s="37"/>
      <c r="I12" s="37"/>
      <c r="J12" s="37"/>
      <c r="K12" s="37"/>
      <c r="R12" s="2" t="s">
        <v>115</v>
      </c>
      <c r="S12" s="8"/>
    </row>
    <row r="13" spans="1:22" x14ac:dyDescent="0.25">
      <c r="A13" s="6">
        <v>46260</v>
      </c>
      <c r="B13" s="7" t="s">
        <v>993</v>
      </c>
      <c r="C13" s="7" t="s">
        <v>22</v>
      </c>
      <c r="D13" s="7" t="s">
        <v>994</v>
      </c>
      <c r="F13" s="37"/>
      <c r="G13" s="37"/>
      <c r="H13" s="37"/>
      <c r="I13" s="37"/>
      <c r="J13" s="37"/>
      <c r="K13" s="37"/>
      <c r="R13" s="2" t="s">
        <v>85</v>
      </c>
      <c r="S13" s="10">
        <f>S10</f>
        <v>0.29499999999999998</v>
      </c>
    </row>
    <row r="14" spans="1:22" x14ac:dyDescent="0.25">
      <c r="A14" s="6">
        <v>46266</v>
      </c>
      <c r="B14" s="7" t="s">
        <v>1031</v>
      </c>
      <c r="C14" s="7" t="s">
        <v>1033</v>
      </c>
      <c r="D14" s="7" t="s">
        <v>1036</v>
      </c>
      <c r="F14" s="37"/>
      <c r="G14" s="37"/>
      <c r="H14" s="37"/>
      <c r="I14" s="37"/>
      <c r="J14" s="37"/>
      <c r="K14" s="37"/>
      <c r="R14" s="2" t="s">
        <v>86</v>
      </c>
      <c r="S14" s="10">
        <f>S13*12.032</f>
        <v>3.5494399999999997</v>
      </c>
    </row>
    <row r="15" spans="1:22" x14ac:dyDescent="0.25">
      <c r="A15" s="6">
        <v>46273</v>
      </c>
      <c r="B15" s="7" t="s">
        <v>1102</v>
      </c>
      <c r="C15" s="7" t="s">
        <v>16</v>
      </c>
      <c r="D15" s="7" t="s">
        <v>1092</v>
      </c>
      <c r="F15" s="2" t="s">
        <v>0</v>
      </c>
      <c r="G15" s="4">
        <v>46221</v>
      </c>
      <c r="H15" s="2" t="s">
        <v>2</v>
      </c>
      <c r="I15" s="1" t="s">
        <v>47</v>
      </c>
      <c r="J15" s="2" t="s">
        <v>11</v>
      </c>
      <c r="K15" s="1" t="s">
        <v>14</v>
      </c>
    </row>
    <row r="16" spans="1:22" x14ac:dyDescent="0.25">
      <c r="A16" s="6">
        <v>46277</v>
      </c>
      <c r="B16" s="7" t="s">
        <v>1031</v>
      </c>
      <c r="C16" s="7" t="s">
        <v>22</v>
      </c>
      <c r="D16" s="7" t="s">
        <v>1140</v>
      </c>
      <c r="F16" s="32" t="s">
        <v>561</v>
      </c>
      <c r="G16" s="32"/>
      <c r="H16" s="32"/>
      <c r="I16" s="32"/>
      <c r="J16" s="32"/>
      <c r="K16" s="32"/>
    </row>
    <row r="17" spans="1:11" x14ac:dyDescent="0.25">
      <c r="A17" s="6">
        <v>46279</v>
      </c>
      <c r="B17" s="7" t="s">
        <v>1154</v>
      </c>
      <c r="C17" s="7" t="s">
        <v>22</v>
      </c>
      <c r="D17" s="7" t="s">
        <v>56</v>
      </c>
      <c r="F17" s="32"/>
      <c r="G17" s="32"/>
      <c r="H17" s="32"/>
      <c r="I17" s="32"/>
      <c r="J17" s="32"/>
      <c r="K17" s="32"/>
    </row>
    <row r="18" spans="1:11" x14ac:dyDescent="0.25">
      <c r="A18" s="6">
        <v>46280</v>
      </c>
      <c r="B18" s="7" t="s">
        <v>1175</v>
      </c>
      <c r="C18" s="7" t="s">
        <v>588</v>
      </c>
      <c r="D18" s="7" t="s">
        <v>1159</v>
      </c>
      <c r="F18" s="32"/>
      <c r="G18" s="32"/>
      <c r="H18" s="32"/>
      <c r="I18" s="32"/>
      <c r="J18" s="32"/>
      <c r="K18" s="32"/>
    </row>
    <row r="19" spans="1:11" x14ac:dyDescent="0.25">
      <c r="A19" s="6">
        <v>46283</v>
      </c>
      <c r="B19" s="7" t="s">
        <v>1031</v>
      </c>
      <c r="C19" s="7" t="s">
        <v>22</v>
      </c>
      <c r="D19" s="7" t="s">
        <v>1140</v>
      </c>
      <c r="F19" s="2" t="s">
        <v>0</v>
      </c>
      <c r="G19" s="4">
        <v>46236</v>
      </c>
      <c r="H19" s="2" t="s">
        <v>2</v>
      </c>
      <c r="I19" s="1" t="s">
        <v>16</v>
      </c>
      <c r="J19" s="2" t="s">
        <v>11</v>
      </c>
      <c r="K19" s="1" t="s">
        <v>14</v>
      </c>
    </row>
    <row r="20" spans="1:11" x14ac:dyDescent="0.25">
      <c r="F20" s="32" t="s">
        <v>731</v>
      </c>
      <c r="G20" s="32"/>
      <c r="H20" s="32"/>
      <c r="I20" s="32"/>
      <c r="J20" s="32"/>
      <c r="K20" s="32"/>
    </row>
    <row r="21" spans="1:11" x14ac:dyDescent="0.25">
      <c r="F21" s="32"/>
      <c r="G21" s="32"/>
      <c r="H21" s="32"/>
      <c r="I21" s="32"/>
      <c r="J21" s="32"/>
      <c r="K21" s="32"/>
    </row>
    <row r="22" spans="1:11" x14ac:dyDescent="0.25">
      <c r="F22" s="32"/>
      <c r="G22" s="32"/>
      <c r="H22" s="32"/>
      <c r="I22" s="32"/>
      <c r="J22" s="32"/>
      <c r="K22" s="32"/>
    </row>
    <row r="23" spans="1:11" x14ac:dyDescent="0.25">
      <c r="F23" s="2" t="s">
        <v>0</v>
      </c>
      <c r="G23" s="4">
        <v>46237</v>
      </c>
      <c r="H23" s="2" t="s">
        <v>2</v>
      </c>
      <c r="I23" s="1" t="s">
        <v>22</v>
      </c>
      <c r="J23" s="2" t="s">
        <v>11</v>
      </c>
      <c r="K23" s="1" t="s">
        <v>14</v>
      </c>
    </row>
    <row r="24" spans="1:11" x14ac:dyDescent="0.25">
      <c r="F24" s="32" t="s">
        <v>742</v>
      </c>
      <c r="G24" s="32"/>
      <c r="H24" s="32"/>
      <c r="I24" s="32"/>
      <c r="J24" s="32"/>
      <c r="K24" s="32"/>
    </row>
    <row r="25" spans="1:11" x14ac:dyDescent="0.25">
      <c r="F25" s="32"/>
      <c r="G25" s="32"/>
      <c r="H25" s="32"/>
      <c r="I25" s="32"/>
      <c r="J25" s="32"/>
      <c r="K25" s="32"/>
    </row>
    <row r="26" spans="1:11" x14ac:dyDescent="0.25">
      <c r="F26" s="32"/>
      <c r="G26" s="32"/>
      <c r="H26" s="32"/>
      <c r="I26" s="32"/>
      <c r="J26" s="32"/>
      <c r="K26" s="32"/>
    </row>
    <row r="27" spans="1:11" x14ac:dyDescent="0.25">
      <c r="F27" s="2" t="s">
        <v>0</v>
      </c>
      <c r="G27" s="4">
        <v>46240</v>
      </c>
      <c r="H27" s="2" t="s">
        <v>2</v>
      </c>
      <c r="I27" s="1" t="s">
        <v>22</v>
      </c>
      <c r="J27" s="2" t="s">
        <v>11</v>
      </c>
      <c r="K27" s="1" t="s">
        <v>14</v>
      </c>
    </row>
    <row r="28" spans="1:11" x14ac:dyDescent="0.25">
      <c r="F28" s="32" t="s">
        <v>789</v>
      </c>
      <c r="G28" s="32"/>
      <c r="H28" s="32"/>
      <c r="I28" s="32"/>
      <c r="J28" s="32"/>
      <c r="K28" s="32"/>
    </row>
    <row r="29" spans="1:11" x14ac:dyDescent="0.25">
      <c r="F29" s="32"/>
      <c r="G29" s="32"/>
      <c r="H29" s="32"/>
      <c r="I29" s="32"/>
      <c r="J29" s="32"/>
      <c r="K29" s="32"/>
    </row>
    <row r="30" spans="1:11" x14ac:dyDescent="0.25">
      <c r="F30" s="32"/>
      <c r="G30" s="32"/>
      <c r="H30" s="32"/>
      <c r="I30" s="32"/>
      <c r="J30" s="32"/>
      <c r="K30" s="32"/>
    </row>
    <row r="31" spans="1:11" x14ac:dyDescent="0.25">
      <c r="F31" s="2" t="s">
        <v>0</v>
      </c>
      <c r="G31" s="4">
        <v>46241</v>
      </c>
      <c r="H31" s="2" t="s">
        <v>2</v>
      </c>
      <c r="I31" s="1" t="s">
        <v>22</v>
      </c>
      <c r="J31" s="2" t="s">
        <v>11</v>
      </c>
      <c r="K31" s="1" t="s">
        <v>14</v>
      </c>
    </row>
    <row r="32" spans="1:11" ht="14.45" customHeight="1" x14ac:dyDescent="0.25">
      <c r="F32" s="32" t="s">
        <v>801</v>
      </c>
      <c r="G32" s="32"/>
      <c r="H32" s="32"/>
      <c r="I32" s="32"/>
      <c r="J32" s="32"/>
      <c r="K32" s="32"/>
    </row>
    <row r="33" spans="6:11" x14ac:dyDescent="0.25">
      <c r="F33" s="32"/>
      <c r="G33" s="32"/>
      <c r="H33" s="32"/>
      <c r="I33" s="32"/>
      <c r="J33" s="32"/>
      <c r="K33" s="32"/>
    </row>
    <row r="34" spans="6:11" x14ac:dyDescent="0.25">
      <c r="F34" s="32"/>
      <c r="G34" s="32"/>
      <c r="H34" s="32"/>
      <c r="I34" s="32"/>
      <c r="J34" s="32"/>
      <c r="K34" s="32"/>
    </row>
    <row r="35" spans="6:11" x14ac:dyDescent="0.25">
      <c r="F35" s="32"/>
      <c r="G35" s="32"/>
      <c r="H35" s="32"/>
      <c r="I35" s="32"/>
      <c r="J35" s="32"/>
      <c r="K35" s="32"/>
    </row>
    <row r="36" spans="6:11" x14ac:dyDescent="0.25">
      <c r="F36" s="32"/>
      <c r="G36" s="32"/>
      <c r="H36" s="32"/>
      <c r="I36" s="32"/>
      <c r="J36" s="32"/>
      <c r="K36" s="32"/>
    </row>
    <row r="37" spans="6:11" x14ac:dyDescent="0.25">
      <c r="F37" s="32"/>
      <c r="G37" s="32"/>
      <c r="H37" s="32"/>
      <c r="I37" s="32"/>
      <c r="J37" s="32"/>
      <c r="K37" s="32"/>
    </row>
    <row r="38" spans="6:11" x14ac:dyDescent="0.25">
      <c r="F38" s="2" t="s">
        <v>0</v>
      </c>
      <c r="G38" s="4">
        <v>46247</v>
      </c>
      <c r="H38" s="2" t="s">
        <v>2</v>
      </c>
      <c r="I38" s="1" t="s">
        <v>22</v>
      </c>
      <c r="J38" s="2" t="s">
        <v>11</v>
      </c>
      <c r="K38" s="1" t="s">
        <v>14</v>
      </c>
    </row>
    <row r="39" spans="6:11" x14ac:dyDescent="0.25">
      <c r="F39" s="32" t="s">
        <v>885</v>
      </c>
      <c r="G39" s="32"/>
      <c r="H39" s="32"/>
      <c r="I39" s="32"/>
      <c r="J39" s="32"/>
      <c r="K39" s="32"/>
    </row>
    <row r="40" spans="6:11" x14ac:dyDescent="0.25">
      <c r="F40" s="32"/>
      <c r="G40" s="32"/>
      <c r="H40" s="32"/>
      <c r="I40" s="32"/>
      <c r="J40" s="32"/>
      <c r="K40" s="32"/>
    </row>
    <row r="41" spans="6:11" x14ac:dyDescent="0.25">
      <c r="F41" s="32"/>
      <c r="G41" s="32"/>
      <c r="H41" s="32"/>
      <c r="I41" s="32"/>
      <c r="J41" s="32"/>
      <c r="K41" s="32"/>
    </row>
    <row r="42" spans="6:11" x14ac:dyDescent="0.25">
      <c r="F42" s="2" t="s">
        <v>0</v>
      </c>
      <c r="G42" s="4">
        <v>46260</v>
      </c>
      <c r="H42" s="2" t="s">
        <v>2</v>
      </c>
      <c r="I42" s="1" t="s">
        <v>22</v>
      </c>
      <c r="J42" s="2" t="s">
        <v>11</v>
      </c>
      <c r="K42" s="1" t="s">
        <v>14</v>
      </c>
    </row>
    <row r="43" spans="6:11" x14ac:dyDescent="0.25">
      <c r="F43" s="32" t="s">
        <v>995</v>
      </c>
      <c r="G43" s="32"/>
      <c r="H43" s="32"/>
      <c r="I43" s="32"/>
      <c r="J43" s="32"/>
      <c r="K43" s="32"/>
    </row>
    <row r="44" spans="6:11" x14ac:dyDescent="0.25">
      <c r="F44" s="32"/>
      <c r="G44" s="32"/>
      <c r="H44" s="32"/>
      <c r="I44" s="32"/>
      <c r="J44" s="32"/>
      <c r="K44" s="32"/>
    </row>
    <row r="45" spans="6:11" x14ac:dyDescent="0.25">
      <c r="F45" s="32"/>
      <c r="G45" s="32"/>
      <c r="H45" s="32"/>
      <c r="I45" s="32"/>
      <c r="J45" s="32"/>
      <c r="K45" s="32"/>
    </row>
    <row r="46" spans="6:11" x14ac:dyDescent="0.25">
      <c r="F46" s="2" t="s">
        <v>0</v>
      </c>
      <c r="G46" s="4">
        <v>46266</v>
      </c>
      <c r="H46" s="2" t="s">
        <v>2</v>
      </c>
      <c r="I46" s="1" t="s">
        <v>22</v>
      </c>
      <c r="J46" s="2" t="s">
        <v>11</v>
      </c>
      <c r="K46" s="1" t="s">
        <v>14</v>
      </c>
    </row>
    <row r="47" spans="6:11" x14ac:dyDescent="0.25">
      <c r="F47" s="32" t="s">
        <v>1039</v>
      </c>
      <c r="G47" s="32"/>
      <c r="H47" s="32"/>
      <c r="I47" s="32"/>
      <c r="J47" s="32"/>
      <c r="K47" s="32"/>
    </row>
    <row r="48" spans="6:11" x14ac:dyDescent="0.25">
      <c r="F48" s="32"/>
      <c r="G48" s="32"/>
      <c r="H48" s="32"/>
      <c r="I48" s="32"/>
      <c r="J48" s="32"/>
      <c r="K48" s="32"/>
    </row>
    <row r="49" spans="6:11" x14ac:dyDescent="0.25">
      <c r="F49" s="2" t="s">
        <v>0</v>
      </c>
      <c r="G49" s="4">
        <v>46273</v>
      </c>
      <c r="H49" s="2" t="s">
        <v>2</v>
      </c>
      <c r="I49" s="1" t="s">
        <v>16</v>
      </c>
      <c r="J49" s="2" t="s">
        <v>11</v>
      </c>
      <c r="K49" s="1" t="s">
        <v>14</v>
      </c>
    </row>
    <row r="50" spans="6:11" x14ac:dyDescent="0.25">
      <c r="F50" s="32" t="s">
        <v>1105</v>
      </c>
      <c r="G50" s="32"/>
      <c r="H50" s="32"/>
      <c r="I50" s="32"/>
      <c r="J50" s="32"/>
      <c r="K50" s="32"/>
    </row>
    <row r="51" spans="6:11" x14ac:dyDescent="0.25">
      <c r="F51" s="32"/>
      <c r="G51" s="32"/>
      <c r="H51" s="32"/>
      <c r="I51" s="32"/>
      <c r="J51" s="32"/>
      <c r="K51" s="32"/>
    </row>
    <row r="52" spans="6:11" x14ac:dyDescent="0.25">
      <c r="F52" s="2" t="s">
        <v>0</v>
      </c>
      <c r="G52" s="4">
        <v>46277</v>
      </c>
      <c r="H52" s="2" t="s">
        <v>2</v>
      </c>
      <c r="I52" s="1" t="s">
        <v>22</v>
      </c>
      <c r="J52" s="2" t="s">
        <v>11</v>
      </c>
      <c r="K52" s="1" t="s">
        <v>14</v>
      </c>
    </row>
    <row r="53" spans="6:11" x14ac:dyDescent="0.25">
      <c r="F53" s="32" t="s">
        <v>1148</v>
      </c>
      <c r="G53" s="32"/>
      <c r="H53" s="32"/>
      <c r="I53" s="32"/>
      <c r="J53" s="32"/>
      <c r="K53" s="32"/>
    </row>
    <row r="54" spans="6:11" x14ac:dyDescent="0.25">
      <c r="F54" s="32"/>
      <c r="G54" s="32"/>
      <c r="H54" s="32"/>
      <c r="I54" s="32"/>
      <c r="J54" s="32"/>
      <c r="K54" s="32"/>
    </row>
    <row r="55" spans="6:11" x14ac:dyDescent="0.25">
      <c r="F55" s="2" t="s">
        <v>0</v>
      </c>
      <c r="G55" s="4">
        <v>46279</v>
      </c>
      <c r="H55" s="2" t="s">
        <v>2</v>
      </c>
      <c r="I55" s="1" t="s">
        <v>22</v>
      </c>
      <c r="J55" s="2" t="s">
        <v>11</v>
      </c>
      <c r="K55" s="1" t="s">
        <v>14</v>
      </c>
    </row>
    <row r="56" spans="6:11" ht="14.45" customHeight="1" x14ac:dyDescent="0.25">
      <c r="F56" s="32" t="s">
        <v>1155</v>
      </c>
      <c r="G56" s="32"/>
      <c r="H56" s="32"/>
      <c r="I56" s="32"/>
      <c r="J56" s="32"/>
      <c r="K56" s="32"/>
    </row>
    <row r="57" spans="6:11" x14ac:dyDescent="0.25">
      <c r="F57" s="32"/>
      <c r="G57" s="32"/>
      <c r="H57" s="32"/>
      <c r="I57" s="32"/>
      <c r="J57" s="32"/>
      <c r="K57" s="32"/>
    </row>
    <row r="58" spans="6:11" x14ac:dyDescent="0.25">
      <c r="F58" s="32"/>
      <c r="G58" s="32"/>
      <c r="H58" s="32"/>
      <c r="I58" s="32"/>
      <c r="J58" s="32"/>
      <c r="K58" s="32"/>
    </row>
    <row r="59" spans="6:11" x14ac:dyDescent="0.25">
      <c r="F59" s="2" t="s">
        <v>0</v>
      </c>
      <c r="G59" s="4">
        <v>46283</v>
      </c>
      <c r="H59" s="2" t="s">
        <v>2</v>
      </c>
      <c r="I59" s="1" t="s">
        <v>22</v>
      </c>
      <c r="J59" s="2" t="s">
        <v>11</v>
      </c>
      <c r="K59" s="1" t="s">
        <v>14</v>
      </c>
    </row>
    <row r="60" spans="6:11" x14ac:dyDescent="0.25">
      <c r="F60" s="32" t="s">
        <v>1195</v>
      </c>
      <c r="G60" s="32"/>
      <c r="H60" s="32"/>
      <c r="I60" s="32"/>
      <c r="J60" s="32"/>
      <c r="K60" s="32"/>
    </row>
    <row r="61" spans="6:11" x14ac:dyDescent="0.25">
      <c r="F61" s="32"/>
      <c r="G61" s="32"/>
      <c r="H61" s="32"/>
      <c r="I61" s="32"/>
      <c r="J61" s="32"/>
      <c r="K61" s="32"/>
    </row>
    <row r="62" spans="6:11" x14ac:dyDescent="0.25">
      <c r="F62" s="32"/>
      <c r="G62" s="32"/>
      <c r="H62" s="32"/>
      <c r="I62" s="32"/>
      <c r="J62" s="32"/>
      <c r="K62" s="32"/>
    </row>
  </sheetData>
  <mergeCells count="19">
    <mergeCell ref="U1:V1"/>
    <mergeCell ref="F7:K10"/>
    <mergeCell ref="R1:S1"/>
    <mergeCell ref="F3:K5"/>
    <mergeCell ref="F1:K1"/>
    <mergeCell ref="M1:P1"/>
    <mergeCell ref="F43:K45"/>
    <mergeCell ref="F16:K18"/>
    <mergeCell ref="F12:K14"/>
    <mergeCell ref="F39:K41"/>
    <mergeCell ref="F32:K37"/>
    <mergeCell ref="F28:K30"/>
    <mergeCell ref="F24:K26"/>
    <mergeCell ref="F20:K22"/>
    <mergeCell ref="F60:K62"/>
    <mergeCell ref="F56:K58"/>
    <mergeCell ref="F53:K54"/>
    <mergeCell ref="F50:K51"/>
    <mergeCell ref="F47:K4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7FAAD-E010-4A33-A9C4-D08CB462ACF5}">
  <dimension ref="A1:V18"/>
  <sheetViews>
    <sheetView workbookViewId="0">
      <selection activeCell="A6" sqref="A6:D6"/>
    </sheetView>
  </sheetViews>
  <sheetFormatPr baseColWidth="10" defaultRowHeight="15" x14ac:dyDescent="0.25"/>
  <cols>
    <col min="1" max="1" width="11.5703125" style="1"/>
    <col min="2" max="2" width="12.7109375" style="7" bestFit="1" customWidth="1"/>
    <col min="3" max="3" width="11.5703125" style="7"/>
    <col min="4" max="4" width="23.140625" style="7" bestFit="1" customWidth="1"/>
    <col min="18" max="18" width="21.28515625" bestFit="1" customWidth="1"/>
    <col min="19" max="19" width="17.710937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ht="14.45" customHeight="1" x14ac:dyDescent="0.25">
      <c r="A2" s="6">
        <v>46202</v>
      </c>
      <c r="B2" s="7" t="s">
        <v>336</v>
      </c>
      <c r="C2" s="7" t="s">
        <v>31</v>
      </c>
      <c r="D2" s="7" t="s">
        <v>337</v>
      </c>
      <c r="F2" s="2" t="s">
        <v>0</v>
      </c>
      <c r="G2" s="4">
        <v>46207</v>
      </c>
      <c r="H2" s="2" t="s">
        <v>2</v>
      </c>
      <c r="I2" s="1" t="s">
        <v>418</v>
      </c>
      <c r="J2" s="2" t="s">
        <v>11</v>
      </c>
      <c r="K2" s="1" t="s">
        <v>14</v>
      </c>
      <c r="M2" s="2" t="s">
        <v>0</v>
      </c>
      <c r="N2" s="1"/>
      <c r="O2" s="2" t="s">
        <v>6</v>
      </c>
      <c r="P2" s="1"/>
      <c r="R2" s="2" t="s">
        <v>11</v>
      </c>
      <c r="S2" s="8" t="s">
        <v>201</v>
      </c>
      <c r="U2" s="3" t="s">
        <v>0</v>
      </c>
      <c r="V2" s="3" t="s">
        <v>88</v>
      </c>
    </row>
    <row r="3" spans="1:22" x14ac:dyDescent="0.25">
      <c r="A3" s="6">
        <v>46244</v>
      </c>
      <c r="B3" s="7" t="s">
        <v>799</v>
      </c>
      <c r="C3" s="7" t="s">
        <v>9</v>
      </c>
      <c r="D3" s="7" t="s">
        <v>841</v>
      </c>
      <c r="F3" s="32" t="s">
        <v>422</v>
      </c>
      <c r="G3" s="32"/>
      <c r="H3" s="32"/>
      <c r="I3" s="32"/>
      <c r="J3" s="32"/>
      <c r="K3" s="32"/>
      <c r="R3" s="2" t="s">
        <v>76</v>
      </c>
      <c r="S3" s="8" t="s">
        <v>202</v>
      </c>
    </row>
    <row r="4" spans="1:22" x14ac:dyDescent="0.25">
      <c r="A4" s="6">
        <v>46244</v>
      </c>
      <c r="B4" s="7" t="s">
        <v>768</v>
      </c>
      <c r="C4" s="7" t="s">
        <v>9</v>
      </c>
      <c r="D4" s="7" t="s">
        <v>56</v>
      </c>
      <c r="F4" s="32"/>
      <c r="G4" s="32"/>
      <c r="H4" s="32"/>
      <c r="I4" s="32"/>
      <c r="J4" s="32"/>
      <c r="K4" s="32"/>
      <c r="R4" s="2" t="s">
        <v>77</v>
      </c>
      <c r="S4" s="8"/>
    </row>
    <row r="5" spans="1:22" x14ac:dyDescent="0.25">
      <c r="A5" s="6">
        <v>46265</v>
      </c>
      <c r="B5" s="7" t="s">
        <v>343</v>
      </c>
      <c r="C5" s="7" t="s">
        <v>344</v>
      </c>
      <c r="D5" s="7" t="s">
        <v>1029</v>
      </c>
      <c r="F5" s="32"/>
      <c r="G5" s="32"/>
      <c r="H5" s="32"/>
      <c r="I5" s="32"/>
      <c r="J5" s="32"/>
      <c r="K5" s="32"/>
      <c r="R5" s="2" t="s">
        <v>78</v>
      </c>
      <c r="S5" s="8" t="s">
        <v>101</v>
      </c>
    </row>
    <row r="6" spans="1:22" x14ac:dyDescent="0.25">
      <c r="A6" s="6">
        <v>46272</v>
      </c>
      <c r="B6" s="7" t="s">
        <v>1089</v>
      </c>
      <c r="C6" s="7" t="s">
        <v>31</v>
      </c>
      <c r="D6" s="7" t="s">
        <v>1090</v>
      </c>
      <c r="F6" s="32"/>
      <c r="G6" s="32"/>
      <c r="H6" s="32"/>
      <c r="I6" s="32"/>
      <c r="J6" s="32"/>
      <c r="K6" s="32"/>
      <c r="R6" s="2" t="s">
        <v>92</v>
      </c>
      <c r="S6" s="8" t="s">
        <v>142</v>
      </c>
    </row>
    <row r="7" spans="1:22" x14ac:dyDescent="0.25">
      <c r="F7" s="2" t="s">
        <v>0</v>
      </c>
      <c r="G7" s="4">
        <v>46244</v>
      </c>
      <c r="H7" s="2" t="s">
        <v>2</v>
      </c>
      <c r="I7" s="1" t="s">
        <v>839</v>
      </c>
      <c r="J7" s="2" t="s">
        <v>11</v>
      </c>
      <c r="K7" s="1" t="s">
        <v>14</v>
      </c>
      <c r="R7" s="2" t="s">
        <v>80</v>
      </c>
      <c r="S7" s="8" t="s">
        <v>203</v>
      </c>
    </row>
    <row r="8" spans="1:22" ht="14.45" customHeight="1" x14ac:dyDescent="0.25">
      <c r="F8" s="32" t="s">
        <v>840</v>
      </c>
      <c r="G8" s="32"/>
      <c r="H8" s="32"/>
      <c r="I8" s="32"/>
      <c r="J8" s="32"/>
      <c r="K8" s="32"/>
      <c r="R8" s="2" t="s">
        <v>81</v>
      </c>
      <c r="S8" s="8"/>
    </row>
    <row r="9" spans="1:22" x14ac:dyDescent="0.25">
      <c r="F9" s="32"/>
      <c r="G9" s="32"/>
      <c r="H9" s="32"/>
      <c r="I9" s="32"/>
      <c r="J9" s="32"/>
      <c r="K9" s="32"/>
      <c r="R9" s="2" t="s">
        <v>82</v>
      </c>
      <c r="S9" s="8">
        <f>S10+S11</f>
        <v>0.16880000000000001</v>
      </c>
    </row>
    <row r="10" spans="1:22" x14ac:dyDescent="0.25">
      <c r="F10" s="32"/>
      <c r="G10" s="32"/>
      <c r="H10" s="32"/>
      <c r="I10" s="32"/>
      <c r="J10" s="32"/>
      <c r="K10" s="32"/>
      <c r="R10" s="2" t="s">
        <v>83</v>
      </c>
      <c r="S10" s="10">
        <v>0.16880000000000001</v>
      </c>
    </row>
    <row r="11" spans="1:22" x14ac:dyDescent="0.25">
      <c r="F11" s="32"/>
      <c r="G11" s="32"/>
      <c r="H11" s="32"/>
      <c r="I11" s="32"/>
      <c r="J11" s="32"/>
      <c r="K11" s="32"/>
      <c r="R11" s="2" t="s">
        <v>84</v>
      </c>
      <c r="S11" s="10">
        <v>0</v>
      </c>
    </row>
    <row r="12" spans="1:22" x14ac:dyDescent="0.25">
      <c r="F12" s="32"/>
      <c r="G12" s="32"/>
      <c r="H12" s="32"/>
      <c r="I12" s="32"/>
      <c r="J12" s="32"/>
      <c r="K12" s="32"/>
      <c r="R12" s="2" t="s">
        <v>115</v>
      </c>
      <c r="S12" s="8"/>
    </row>
    <row r="13" spans="1:22" x14ac:dyDescent="0.25">
      <c r="F13" s="32"/>
      <c r="G13" s="32"/>
      <c r="H13" s="32"/>
      <c r="I13" s="32"/>
      <c r="J13" s="32"/>
      <c r="K13" s="32"/>
      <c r="R13" s="2" t="s">
        <v>85</v>
      </c>
      <c r="S13" s="10">
        <f>S10</f>
        <v>0.16880000000000001</v>
      </c>
    </row>
    <row r="14" spans="1:22" x14ac:dyDescent="0.25">
      <c r="F14" s="2" t="s">
        <v>0</v>
      </c>
      <c r="G14" s="4">
        <v>46275</v>
      </c>
      <c r="H14" s="2" t="s">
        <v>2</v>
      </c>
      <c r="I14" s="1" t="s">
        <v>47</v>
      </c>
      <c r="J14" s="2" t="s">
        <v>11</v>
      </c>
      <c r="K14" s="1" t="s">
        <v>14</v>
      </c>
      <c r="R14" s="2" t="s">
        <v>86</v>
      </c>
      <c r="S14" s="10">
        <f>S13*12.032</f>
        <v>2.0310016000000002</v>
      </c>
    </row>
    <row r="15" spans="1:22" ht="14.45" customHeight="1" x14ac:dyDescent="0.25">
      <c r="F15" s="32" t="s">
        <v>1123</v>
      </c>
      <c r="G15" s="32"/>
      <c r="H15" s="32"/>
      <c r="I15" s="32"/>
      <c r="J15" s="32"/>
      <c r="K15" s="32"/>
    </row>
    <row r="16" spans="1:22" x14ac:dyDescent="0.25">
      <c r="F16" s="32"/>
      <c r="G16" s="32"/>
      <c r="H16" s="32"/>
      <c r="I16" s="32"/>
      <c r="J16" s="32"/>
      <c r="K16" s="32"/>
    </row>
    <row r="17" spans="6:11" x14ac:dyDescent="0.25">
      <c r="F17" s="32"/>
      <c r="G17" s="32"/>
      <c r="H17" s="32"/>
      <c r="I17" s="32"/>
      <c r="J17" s="32"/>
      <c r="K17" s="32"/>
    </row>
    <row r="18" spans="6:11" x14ac:dyDescent="0.25">
      <c r="F18" s="32"/>
      <c r="G18" s="32"/>
      <c r="H18" s="32"/>
      <c r="I18" s="32"/>
      <c r="J18" s="32"/>
      <c r="K18" s="32"/>
    </row>
  </sheetData>
  <mergeCells count="7">
    <mergeCell ref="F15:K18"/>
    <mergeCell ref="F8:K13"/>
    <mergeCell ref="M1:P1"/>
    <mergeCell ref="R1:S1"/>
    <mergeCell ref="U1:V1"/>
    <mergeCell ref="F3:K6"/>
    <mergeCell ref="F1:K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16857-FF6A-4E19-97FA-26A33B0A9688}">
  <dimension ref="A1:X182"/>
  <sheetViews>
    <sheetView topLeftCell="A29" workbookViewId="0">
      <selection activeCell="A44" sqref="A44:D44"/>
    </sheetView>
  </sheetViews>
  <sheetFormatPr baseColWidth="10" defaultRowHeight="15" x14ac:dyDescent="0.25"/>
  <cols>
    <col min="1" max="1" width="11.5703125" style="7"/>
    <col min="2" max="2" width="33.140625" style="7" bestFit="1" customWidth="1"/>
    <col min="3" max="3" width="11.5703125" style="7"/>
    <col min="4" max="4" width="31.28515625" style="7" bestFit="1" customWidth="1"/>
    <col min="13" max="13" width="12.42578125" bestFit="1" customWidth="1"/>
    <col min="14" max="14" width="13.28515625" bestFit="1" customWidth="1"/>
    <col min="18" max="18" width="14.28515625" bestFit="1" customWidth="1"/>
    <col min="20" max="20" width="21.28515625" bestFit="1" customWidth="1"/>
    <col min="21" max="21" width="29.140625" bestFit="1" customWidth="1"/>
    <col min="23" max="23" width="11.5703125" style="7"/>
    <col min="24" max="24" width="15" style="7" bestFit="1" customWidth="1"/>
  </cols>
  <sheetData>
    <row r="1" spans="1:24" x14ac:dyDescent="0.25">
      <c r="A1" s="3" t="s">
        <v>0</v>
      </c>
      <c r="B1" s="3" t="s">
        <v>1</v>
      </c>
      <c r="C1" s="3" t="s">
        <v>2</v>
      </c>
      <c r="D1" s="3" t="s">
        <v>3</v>
      </c>
      <c r="F1" s="36" t="s">
        <v>4</v>
      </c>
      <c r="G1" s="36"/>
      <c r="H1" s="36"/>
      <c r="I1" s="36"/>
      <c r="J1" s="36"/>
      <c r="K1" s="36"/>
      <c r="M1" s="36" t="s">
        <v>5</v>
      </c>
      <c r="N1" s="36"/>
      <c r="O1" s="36"/>
      <c r="P1" s="36"/>
      <c r="Q1" s="36"/>
      <c r="R1" s="36"/>
      <c r="T1" s="34" t="s">
        <v>7</v>
      </c>
      <c r="U1" s="35"/>
      <c r="W1" s="33" t="s">
        <v>87</v>
      </c>
      <c r="X1" s="33"/>
    </row>
    <row r="2" spans="1:24" ht="14.45" customHeight="1" x14ac:dyDescent="0.25">
      <c r="A2" s="6">
        <v>46197</v>
      </c>
      <c r="B2" s="7" t="s">
        <v>54</v>
      </c>
      <c r="C2" s="7" t="s">
        <v>18</v>
      </c>
      <c r="D2" s="7" t="s">
        <v>56</v>
      </c>
      <c r="F2" s="2" t="s">
        <v>0</v>
      </c>
      <c r="G2" s="4">
        <v>46197</v>
      </c>
      <c r="H2" s="2" t="s">
        <v>2</v>
      </c>
      <c r="I2" s="1" t="s">
        <v>16</v>
      </c>
      <c r="J2" s="2" t="s">
        <v>11</v>
      </c>
      <c r="K2" s="1" t="s">
        <v>14</v>
      </c>
      <c r="M2" s="16" t="s">
        <v>0</v>
      </c>
      <c r="N2" s="1">
        <v>2022</v>
      </c>
      <c r="O2" s="22" t="s">
        <v>6</v>
      </c>
      <c r="P2" s="18" t="s">
        <v>282</v>
      </c>
      <c r="Q2" s="11" t="s">
        <v>11</v>
      </c>
      <c r="R2" s="8" t="s">
        <v>211</v>
      </c>
      <c r="T2" s="2" t="s">
        <v>11</v>
      </c>
      <c r="U2" s="8" t="s">
        <v>204</v>
      </c>
      <c r="W2" s="3" t="s">
        <v>0</v>
      </c>
      <c r="X2" s="3" t="s">
        <v>88</v>
      </c>
    </row>
    <row r="3" spans="1:24" ht="14.45" customHeight="1" x14ac:dyDescent="0.25">
      <c r="A3" s="6">
        <v>46197</v>
      </c>
      <c r="B3" s="7" t="s">
        <v>8</v>
      </c>
      <c r="C3" s="7" t="s">
        <v>9</v>
      </c>
      <c r="D3" s="7" t="s">
        <v>10</v>
      </c>
      <c r="F3" s="37" t="s">
        <v>55</v>
      </c>
      <c r="G3" s="37"/>
      <c r="H3" s="37"/>
      <c r="I3" s="37"/>
      <c r="J3" s="37"/>
      <c r="K3" s="37"/>
      <c r="M3" s="15" t="s">
        <v>283</v>
      </c>
      <c r="N3" s="3" t="s">
        <v>313</v>
      </c>
      <c r="O3" s="5"/>
      <c r="T3" s="2" t="s">
        <v>76</v>
      </c>
      <c r="U3" s="8" t="s">
        <v>205</v>
      </c>
    </row>
    <row r="4" spans="1:24" x14ac:dyDescent="0.25">
      <c r="A4" s="6">
        <v>46203</v>
      </c>
      <c r="B4" s="7" t="s">
        <v>30</v>
      </c>
      <c r="C4" s="7" t="s">
        <v>31</v>
      </c>
      <c r="D4" s="7" t="s">
        <v>32</v>
      </c>
      <c r="F4" s="37"/>
      <c r="G4" s="37"/>
      <c r="H4" s="37"/>
      <c r="I4" s="37"/>
      <c r="J4" s="37"/>
      <c r="K4" s="37"/>
      <c r="M4" s="15" t="s">
        <v>284</v>
      </c>
      <c r="N4" s="12" t="s">
        <v>314</v>
      </c>
      <c r="O4" s="19"/>
      <c r="T4" s="2" t="s">
        <v>77</v>
      </c>
      <c r="U4" s="8" t="s">
        <v>93</v>
      </c>
    </row>
    <row r="5" spans="1:24" x14ac:dyDescent="0.25">
      <c r="A5" s="6">
        <v>46197</v>
      </c>
      <c r="B5" s="7" t="s">
        <v>343</v>
      </c>
      <c r="C5" s="7" t="s">
        <v>344</v>
      </c>
      <c r="D5" s="7" t="s">
        <v>345</v>
      </c>
      <c r="F5" s="37"/>
      <c r="G5" s="37"/>
      <c r="H5" s="37"/>
      <c r="I5" s="37"/>
      <c r="J5" s="37"/>
      <c r="K5" s="37"/>
      <c r="M5" s="11" t="s">
        <v>285</v>
      </c>
      <c r="N5" s="13">
        <v>1.2</v>
      </c>
      <c r="O5" s="20"/>
      <c r="T5" s="2" t="s">
        <v>78</v>
      </c>
      <c r="U5" s="8" t="s">
        <v>206</v>
      </c>
    </row>
    <row r="6" spans="1:24" x14ac:dyDescent="0.25">
      <c r="A6" s="6">
        <v>46207</v>
      </c>
      <c r="B6" s="7" t="s">
        <v>424</v>
      </c>
      <c r="C6" s="7" t="s">
        <v>350</v>
      </c>
      <c r="D6" s="7" t="s">
        <v>425</v>
      </c>
      <c r="F6" s="2" t="s">
        <v>0</v>
      </c>
      <c r="G6" s="4">
        <v>46203</v>
      </c>
      <c r="H6" s="2" t="s">
        <v>2</v>
      </c>
      <c r="I6" s="1" t="s">
        <v>22</v>
      </c>
      <c r="J6" s="2" t="s">
        <v>11</v>
      </c>
      <c r="K6" s="1" t="s">
        <v>95</v>
      </c>
      <c r="M6" s="11" t="s">
        <v>286</v>
      </c>
      <c r="N6" s="14">
        <v>8.3000000000000007</v>
      </c>
      <c r="O6" s="21"/>
      <c r="T6" s="2" t="s">
        <v>92</v>
      </c>
      <c r="U6" s="8" t="s">
        <v>93</v>
      </c>
    </row>
    <row r="7" spans="1:24" x14ac:dyDescent="0.25">
      <c r="A7" s="6">
        <v>46211</v>
      </c>
      <c r="B7" s="7" t="s">
        <v>444</v>
      </c>
      <c r="C7" s="7" t="s">
        <v>22</v>
      </c>
      <c r="D7" s="7" t="s">
        <v>445</v>
      </c>
      <c r="F7" s="32" t="s">
        <v>341</v>
      </c>
      <c r="G7" s="32"/>
      <c r="H7" s="32"/>
      <c r="I7" s="32"/>
      <c r="J7" s="32"/>
      <c r="K7" s="32"/>
      <c r="M7" s="11" t="s">
        <v>287</v>
      </c>
      <c r="N7" s="1">
        <v>0.14000000000000001</v>
      </c>
      <c r="T7" s="2" t="s">
        <v>80</v>
      </c>
      <c r="U7" s="8" t="s">
        <v>93</v>
      </c>
    </row>
    <row r="8" spans="1:24" x14ac:dyDescent="0.25">
      <c r="A8" s="6">
        <v>46212</v>
      </c>
      <c r="B8" s="7" t="s">
        <v>30</v>
      </c>
      <c r="C8" s="7" t="s">
        <v>22</v>
      </c>
      <c r="D8" s="7" t="s">
        <v>464</v>
      </c>
      <c r="F8" s="32"/>
      <c r="G8" s="32"/>
      <c r="H8" s="32"/>
      <c r="I8" s="32"/>
      <c r="J8" s="32"/>
      <c r="K8" s="32"/>
      <c r="M8" s="11" t="s">
        <v>288</v>
      </c>
      <c r="N8" s="1">
        <v>1.07</v>
      </c>
      <c r="T8" s="2" t="s">
        <v>81</v>
      </c>
      <c r="U8" s="8" t="s">
        <v>93</v>
      </c>
    </row>
    <row r="9" spans="1:24" x14ac:dyDescent="0.25">
      <c r="A9" s="6">
        <v>46218</v>
      </c>
      <c r="B9" s="7" t="s">
        <v>527</v>
      </c>
      <c r="C9" s="7" t="s">
        <v>22</v>
      </c>
      <c r="D9" s="7" t="s">
        <v>56</v>
      </c>
      <c r="F9" s="32"/>
      <c r="G9" s="32"/>
      <c r="H9" s="32"/>
      <c r="I9" s="32"/>
      <c r="J9" s="32"/>
      <c r="K9" s="32"/>
      <c r="M9" s="11" t="s">
        <v>289</v>
      </c>
      <c r="N9" s="13">
        <v>1.85</v>
      </c>
      <c r="O9" s="20"/>
      <c r="T9" s="2" t="s">
        <v>82</v>
      </c>
      <c r="U9" s="8">
        <f>U10+U11</f>
        <v>0.2054</v>
      </c>
    </row>
    <row r="10" spans="1:24" x14ac:dyDescent="0.25">
      <c r="A10" s="6">
        <v>46218</v>
      </c>
      <c r="B10" s="7" t="s">
        <v>424</v>
      </c>
      <c r="C10" s="7" t="s">
        <v>22</v>
      </c>
      <c r="D10" s="7" t="s">
        <v>425</v>
      </c>
      <c r="F10" s="2" t="s">
        <v>0</v>
      </c>
      <c r="G10" s="4">
        <v>46205</v>
      </c>
      <c r="H10" s="2" t="s">
        <v>2</v>
      </c>
      <c r="I10" s="1" t="s">
        <v>15</v>
      </c>
      <c r="J10" s="2" t="s">
        <v>11</v>
      </c>
      <c r="K10" s="1" t="s">
        <v>14</v>
      </c>
      <c r="M10" s="11" t="s">
        <v>290</v>
      </c>
      <c r="N10" s="13">
        <v>25.52</v>
      </c>
      <c r="O10" s="20"/>
      <c r="T10" s="2" t="s">
        <v>83</v>
      </c>
      <c r="U10" s="8">
        <v>0.2054</v>
      </c>
    </row>
    <row r="11" spans="1:24" ht="14.45" customHeight="1" x14ac:dyDescent="0.25">
      <c r="A11" s="6">
        <v>46219</v>
      </c>
      <c r="B11" s="7" t="s">
        <v>552</v>
      </c>
      <c r="C11" s="7" t="s">
        <v>47</v>
      </c>
      <c r="D11" s="7" t="s">
        <v>553</v>
      </c>
      <c r="F11" s="32" t="s">
        <v>383</v>
      </c>
      <c r="G11" s="32"/>
      <c r="H11" s="32"/>
      <c r="I11" s="32"/>
      <c r="J11" s="32"/>
      <c r="K11" s="32"/>
      <c r="M11" s="11" t="s">
        <v>291</v>
      </c>
      <c r="N11" s="1">
        <v>7</v>
      </c>
      <c r="T11" s="2" t="s">
        <v>84</v>
      </c>
      <c r="U11" s="10">
        <v>0</v>
      </c>
    </row>
    <row r="12" spans="1:24" x14ac:dyDescent="0.25">
      <c r="A12" s="6">
        <v>46225</v>
      </c>
      <c r="B12" s="7" t="s">
        <v>573</v>
      </c>
      <c r="C12" s="7" t="s">
        <v>22</v>
      </c>
      <c r="D12" s="7" t="s">
        <v>574</v>
      </c>
      <c r="F12" s="32"/>
      <c r="G12" s="32"/>
      <c r="H12" s="32"/>
      <c r="I12" s="32"/>
      <c r="J12" s="32"/>
      <c r="K12" s="32"/>
      <c r="M12" s="11" t="s">
        <v>292</v>
      </c>
      <c r="N12" s="13">
        <v>0.1</v>
      </c>
      <c r="O12" s="20"/>
      <c r="T12" s="2" t="s">
        <v>115</v>
      </c>
      <c r="U12" s="8" t="s">
        <v>93</v>
      </c>
    </row>
    <row r="13" spans="1:24" x14ac:dyDescent="0.25">
      <c r="A13" s="6">
        <v>46225</v>
      </c>
      <c r="B13" s="7" t="s">
        <v>424</v>
      </c>
      <c r="C13" s="7" t="s">
        <v>22</v>
      </c>
      <c r="D13" s="7" t="s">
        <v>45</v>
      </c>
      <c r="F13" s="32"/>
      <c r="G13" s="32"/>
      <c r="H13" s="32"/>
      <c r="I13" s="32"/>
      <c r="J13" s="32"/>
      <c r="K13" s="32"/>
      <c r="M13" s="11" t="s">
        <v>293</v>
      </c>
      <c r="N13" s="14">
        <v>4.2</v>
      </c>
      <c r="O13" s="21"/>
      <c r="T13" s="2" t="s">
        <v>11</v>
      </c>
      <c r="U13" s="8" t="s">
        <v>207</v>
      </c>
    </row>
    <row r="14" spans="1:24" x14ac:dyDescent="0.25">
      <c r="A14" s="6">
        <v>46229</v>
      </c>
      <c r="B14" s="7" t="s">
        <v>654</v>
      </c>
      <c r="C14" s="7" t="s">
        <v>22</v>
      </c>
      <c r="D14" s="7" t="s">
        <v>45</v>
      </c>
      <c r="F14" s="32"/>
      <c r="G14" s="32"/>
      <c r="H14" s="32"/>
      <c r="I14" s="32"/>
      <c r="J14" s="32"/>
      <c r="K14" s="32"/>
      <c r="M14" s="11" t="s">
        <v>294</v>
      </c>
      <c r="N14" s="1">
        <v>7.89</v>
      </c>
      <c r="T14" s="2" t="s">
        <v>76</v>
      </c>
      <c r="U14" s="8" t="s">
        <v>209</v>
      </c>
    </row>
    <row r="15" spans="1:24" x14ac:dyDescent="0.25">
      <c r="A15" s="6">
        <v>46230</v>
      </c>
      <c r="B15" s="7" t="s">
        <v>657</v>
      </c>
      <c r="C15" s="7" t="s">
        <v>22</v>
      </c>
      <c r="D15" s="7" t="s">
        <v>56</v>
      </c>
      <c r="F15" s="2" t="s">
        <v>0</v>
      </c>
      <c r="G15" s="6">
        <v>46207</v>
      </c>
      <c r="H15" s="2" t="s">
        <v>2</v>
      </c>
      <c r="I15" s="1" t="s">
        <v>15</v>
      </c>
      <c r="J15" s="2" t="s">
        <v>11</v>
      </c>
      <c r="K15" s="1" t="s">
        <v>14</v>
      </c>
      <c r="M15" s="11" t="s">
        <v>295</v>
      </c>
      <c r="N15" s="1">
        <v>295</v>
      </c>
      <c r="T15" s="2" t="s">
        <v>77</v>
      </c>
      <c r="U15" s="8"/>
    </row>
    <row r="16" spans="1:24" x14ac:dyDescent="0.25">
      <c r="A16" s="6">
        <v>46232</v>
      </c>
      <c r="B16" s="7" t="s">
        <v>697</v>
      </c>
      <c r="C16" s="7" t="s">
        <v>418</v>
      </c>
      <c r="D16" s="7" t="s">
        <v>45</v>
      </c>
      <c r="F16" s="32" t="s">
        <v>426</v>
      </c>
      <c r="G16" s="32"/>
      <c r="H16" s="32"/>
      <c r="I16" s="32"/>
      <c r="J16" s="32"/>
      <c r="K16" s="32"/>
      <c r="M16" s="11" t="s">
        <v>296</v>
      </c>
      <c r="N16" s="1">
        <v>6766</v>
      </c>
      <c r="T16" s="2" t="s">
        <v>78</v>
      </c>
      <c r="U16" s="8" t="s">
        <v>101</v>
      </c>
    </row>
    <row r="17" spans="1:21" x14ac:dyDescent="0.25">
      <c r="A17" s="6">
        <v>46232</v>
      </c>
      <c r="B17" s="7" t="s">
        <v>552</v>
      </c>
      <c r="C17" s="7" t="s">
        <v>22</v>
      </c>
      <c r="D17" s="7">
        <v>1500</v>
      </c>
      <c r="F17" s="32"/>
      <c r="G17" s="32"/>
      <c r="H17" s="32"/>
      <c r="I17" s="32"/>
      <c r="J17" s="32"/>
      <c r="K17" s="32"/>
      <c r="M17" s="11" t="s">
        <v>297</v>
      </c>
      <c r="N17" s="1">
        <v>169</v>
      </c>
      <c r="T17" s="2" t="s">
        <v>92</v>
      </c>
      <c r="U17" s="8" t="s">
        <v>208</v>
      </c>
    </row>
    <row r="18" spans="1:21" x14ac:dyDescent="0.25">
      <c r="A18" s="6">
        <v>46233</v>
      </c>
      <c r="B18" s="7" t="s">
        <v>697</v>
      </c>
      <c r="C18" s="7" t="s">
        <v>22</v>
      </c>
      <c r="D18" s="7" t="s">
        <v>416</v>
      </c>
      <c r="F18" s="32"/>
      <c r="G18" s="32"/>
      <c r="H18" s="32"/>
      <c r="I18" s="32"/>
      <c r="J18" s="32"/>
      <c r="K18" s="32"/>
      <c r="M18" s="11" t="s">
        <v>298</v>
      </c>
      <c r="N18" s="1">
        <v>27</v>
      </c>
      <c r="T18" s="2" t="s">
        <v>80</v>
      </c>
      <c r="U18" s="8" t="s">
        <v>210</v>
      </c>
    </row>
    <row r="19" spans="1:21" x14ac:dyDescent="0.25">
      <c r="A19" s="6">
        <v>46233</v>
      </c>
      <c r="B19" s="7" t="s">
        <v>701</v>
      </c>
      <c r="C19" s="7" t="s">
        <v>22</v>
      </c>
      <c r="D19" s="6" t="s">
        <v>728</v>
      </c>
      <c r="F19" s="2" t="s">
        <v>0</v>
      </c>
      <c r="G19" s="6">
        <v>46207</v>
      </c>
      <c r="H19" s="2" t="s">
        <v>2</v>
      </c>
      <c r="I19" s="1" t="s">
        <v>15</v>
      </c>
      <c r="J19" s="2" t="s">
        <v>11</v>
      </c>
      <c r="K19" s="1" t="s">
        <v>219</v>
      </c>
      <c r="M19" s="11" t="s">
        <v>299</v>
      </c>
      <c r="N19" s="1">
        <v>1.05</v>
      </c>
      <c r="T19" s="2" t="s">
        <v>81</v>
      </c>
      <c r="U19" s="8" t="s">
        <v>93</v>
      </c>
    </row>
    <row r="20" spans="1:21" ht="14.45" customHeight="1" x14ac:dyDescent="0.25">
      <c r="A20" s="6">
        <v>46236</v>
      </c>
      <c r="B20" s="7" t="s">
        <v>730</v>
      </c>
      <c r="C20" s="7" t="s">
        <v>22</v>
      </c>
      <c r="D20" s="7" t="s">
        <v>718</v>
      </c>
      <c r="F20" s="37" t="s">
        <v>427</v>
      </c>
      <c r="G20" s="37"/>
      <c r="H20" s="37"/>
      <c r="I20" s="37"/>
      <c r="J20" s="37"/>
      <c r="K20" s="37"/>
      <c r="M20" s="11" t="s">
        <v>300</v>
      </c>
      <c r="N20" s="1">
        <v>107</v>
      </c>
      <c r="T20" s="2" t="s">
        <v>82</v>
      </c>
      <c r="U20" s="8">
        <f>U21+U22</f>
        <v>0.35149999999999998</v>
      </c>
    </row>
    <row r="21" spans="1:21" x14ac:dyDescent="0.25">
      <c r="A21" s="6">
        <v>46237</v>
      </c>
      <c r="B21" s="7" t="s">
        <v>735</v>
      </c>
      <c r="C21" s="7" t="s">
        <v>22</v>
      </c>
      <c r="D21" s="7" t="s">
        <v>718</v>
      </c>
      <c r="F21" s="37"/>
      <c r="G21" s="37"/>
      <c r="H21" s="37"/>
      <c r="I21" s="37"/>
      <c r="J21" s="37"/>
      <c r="K21" s="37"/>
      <c r="M21" s="11" t="s">
        <v>301</v>
      </c>
      <c r="N21" s="1">
        <v>4.0999999999999996</v>
      </c>
      <c r="T21" s="2" t="s">
        <v>83</v>
      </c>
      <c r="U21" s="8">
        <v>0.35149999999999998</v>
      </c>
    </row>
    <row r="22" spans="1:21" x14ac:dyDescent="0.25">
      <c r="A22" s="6">
        <v>46239</v>
      </c>
      <c r="B22" s="7" t="s">
        <v>764</v>
      </c>
      <c r="C22" s="7" t="s">
        <v>47</v>
      </c>
      <c r="D22" s="7" t="s">
        <v>219</v>
      </c>
      <c r="F22" s="37"/>
      <c r="G22" s="37"/>
      <c r="H22" s="37"/>
      <c r="I22" s="37"/>
      <c r="J22" s="37"/>
      <c r="K22" s="37"/>
      <c r="M22" s="11" t="s">
        <v>302</v>
      </c>
      <c r="N22" s="1">
        <v>166</v>
      </c>
      <c r="T22" s="2" t="s">
        <v>84</v>
      </c>
      <c r="U22" s="10">
        <v>0</v>
      </c>
    </row>
    <row r="23" spans="1:21" x14ac:dyDescent="0.25">
      <c r="A23" s="6">
        <v>46241</v>
      </c>
      <c r="B23" s="7" t="s">
        <v>799</v>
      </c>
      <c r="C23" s="7" t="s">
        <v>22</v>
      </c>
      <c r="D23" s="7" t="s">
        <v>804</v>
      </c>
      <c r="F23" s="37"/>
      <c r="G23" s="37"/>
      <c r="H23" s="37"/>
      <c r="I23" s="37"/>
      <c r="J23" s="37"/>
      <c r="K23" s="37"/>
      <c r="M23" s="11" t="s">
        <v>303</v>
      </c>
      <c r="N23" s="1">
        <v>19</v>
      </c>
      <c r="T23" s="2" t="s">
        <v>115</v>
      </c>
      <c r="U23" s="8"/>
    </row>
    <row r="24" spans="1:21" x14ac:dyDescent="0.25">
      <c r="A24" s="6">
        <v>46241</v>
      </c>
      <c r="B24" s="7" t="s">
        <v>799</v>
      </c>
      <c r="C24" s="7" t="s">
        <v>22</v>
      </c>
      <c r="D24" s="7" t="s">
        <v>808</v>
      </c>
      <c r="F24" s="2" t="s">
        <v>0</v>
      </c>
      <c r="G24" s="6">
        <v>46211</v>
      </c>
      <c r="H24" s="2" t="s">
        <v>2</v>
      </c>
      <c r="I24" s="1" t="s">
        <v>15</v>
      </c>
      <c r="J24" s="2" t="s">
        <v>11</v>
      </c>
      <c r="K24" s="1" t="s">
        <v>14</v>
      </c>
      <c r="M24" s="11" t="s">
        <v>304</v>
      </c>
      <c r="N24" s="13">
        <v>0.1</v>
      </c>
      <c r="O24" s="20"/>
      <c r="T24" s="2" t="s">
        <v>11</v>
      </c>
      <c r="U24" s="8" t="s">
        <v>211</v>
      </c>
    </row>
    <row r="25" spans="1:21" x14ac:dyDescent="0.25">
      <c r="A25" s="6">
        <v>46241</v>
      </c>
      <c r="B25" s="7" t="s">
        <v>805</v>
      </c>
      <c r="C25" s="7" t="s">
        <v>22</v>
      </c>
      <c r="D25" s="7" t="s">
        <v>807</v>
      </c>
      <c r="F25" s="32" t="s">
        <v>455</v>
      </c>
      <c r="G25" s="32"/>
      <c r="H25" s="32"/>
      <c r="I25" s="32"/>
      <c r="J25" s="32"/>
      <c r="K25" s="32"/>
      <c r="M25" s="11" t="s">
        <v>305</v>
      </c>
      <c r="N25" s="1">
        <v>10.78</v>
      </c>
      <c r="T25" s="2" t="s">
        <v>76</v>
      </c>
      <c r="U25" s="8" t="s">
        <v>212</v>
      </c>
    </row>
    <row r="26" spans="1:21" x14ac:dyDescent="0.25">
      <c r="A26" s="6">
        <v>46243</v>
      </c>
      <c r="B26" s="7" t="s">
        <v>832</v>
      </c>
      <c r="C26" s="7" t="s">
        <v>418</v>
      </c>
      <c r="D26" s="7" t="s">
        <v>56</v>
      </c>
      <c r="F26" s="32"/>
      <c r="G26" s="32"/>
      <c r="H26" s="32"/>
      <c r="I26" s="32"/>
      <c r="J26" s="32"/>
      <c r="K26" s="32"/>
      <c r="M26" s="11" t="s">
        <v>306</v>
      </c>
      <c r="N26" s="14">
        <v>40.1</v>
      </c>
      <c r="O26" s="21"/>
      <c r="T26" s="2" t="s">
        <v>77</v>
      </c>
      <c r="U26" s="8"/>
    </row>
    <row r="27" spans="1:21" x14ac:dyDescent="0.25">
      <c r="A27" s="6">
        <v>46246</v>
      </c>
      <c r="B27" s="7" t="s">
        <v>866</v>
      </c>
      <c r="C27" s="7" t="s">
        <v>31</v>
      </c>
      <c r="D27" s="7" t="s">
        <v>56</v>
      </c>
      <c r="F27" s="32"/>
      <c r="G27" s="32"/>
      <c r="H27" s="32"/>
      <c r="I27" s="32"/>
      <c r="J27" s="32"/>
      <c r="K27" s="32"/>
      <c r="M27" s="11" t="s">
        <v>307</v>
      </c>
      <c r="N27" s="1">
        <v>0.6</v>
      </c>
      <c r="T27" s="2" t="s">
        <v>78</v>
      </c>
      <c r="U27" s="8" t="s">
        <v>101</v>
      </c>
    </row>
    <row r="28" spans="1:21" x14ac:dyDescent="0.25">
      <c r="A28" s="6">
        <v>46246</v>
      </c>
      <c r="B28" s="7" t="s">
        <v>874</v>
      </c>
      <c r="C28" s="7" t="s">
        <v>22</v>
      </c>
      <c r="D28" s="7" t="s">
        <v>45</v>
      </c>
      <c r="F28" s="2" t="s">
        <v>0</v>
      </c>
      <c r="G28" s="6">
        <v>46214</v>
      </c>
      <c r="H28" s="2" t="s">
        <v>2</v>
      </c>
      <c r="I28" s="1" t="s">
        <v>47</v>
      </c>
      <c r="J28" s="2" t="s">
        <v>11</v>
      </c>
      <c r="K28" s="1" t="s">
        <v>14</v>
      </c>
      <c r="M28" s="11" t="s">
        <v>308</v>
      </c>
      <c r="N28" s="1">
        <v>23</v>
      </c>
      <c r="T28" s="2" t="s">
        <v>92</v>
      </c>
      <c r="U28" s="8" t="s">
        <v>213</v>
      </c>
    </row>
    <row r="29" spans="1:21" ht="14.45" customHeight="1" x14ac:dyDescent="0.25">
      <c r="A29" s="6">
        <v>46246</v>
      </c>
      <c r="B29" s="7" t="s">
        <v>30</v>
      </c>
      <c r="C29" s="7" t="s">
        <v>63</v>
      </c>
      <c r="D29" s="7" t="s">
        <v>869</v>
      </c>
      <c r="F29" s="32" t="s">
        <v>503</v>
      </c>
      <c r="G29" s="32"/>
      <c r="H29" s="32"/>
      <c r="I29" s="32"/>
      <c r="J29" s="32"/>
      <c r="K29" s="32"/>
      <c r="M29" s="11" t="s">
        <v>309</v>
      </c>
      <c r="N29" s="1">
        <v>30.1</v>
      </c>
      <c r="T29" s="2" t="s">
        <v>80</v>
      </c>
      <c r="U29" s="8" t="s">
        <v>214</v>
      </c>
    </row>
    <row r="30" spans="1:21" x14ac:dyDescent="0.25">
      <c r="A30" s="6">
        <v>46247</v>
      </c>
      <c r="B30" s="7" t="s">
        <v>874</v>
      </c>
      <c r="C30" s="7" t="s">
        <v>22</v>
      </c>
      <c r="D30" s="7" t="s">
        <v>416</v>
      </c>
      <c r="F30" s="32"/>
      <c r="G30" s="32"/>
      <c r="H30" s="32"/>
      <c r="I30" s="32"/>
      <c r="J30" s="32"/>
      <c r="K30" s="32"/>
      <c r="M30" s="11" t="s">
        <v>310</v>
      </c>
      <c r="N30" s="1">
        <v>41.4</v>
      </c>
      <c r="T30" s="2" t="s">
        <v>81</v>
      </c>
      <c r="U30" s="8" t="s">
        <v>93</v>
      </c>
    </row>
    <row r="31" spans="1:21" x14ac:dyDescent="0.25">
      <c r="A31" s="6">
        <v>46253</v>
      </c>
      <c r="B31" s="7" t="s">
        <v>8</v>
      </c>
      <c r="C31" s="7" t="s">
        <v>22</v>
      </c>
      <c r="D31" s="7" t="s">
        <v>935</v>
      </c>
      <c r="F31" s="32"/>
      <c r="G31" s="32"/>
      <c r="H31" s="32"/>
      <c r="I31" s="32"/>
      <c r="J31" s="32"/>
      <c r="K31" s="32"/>
      <c r="M31" s="11" t="s">
        <v>311</v>
      </c>
      <c r="N31" s="1">
        <v>28.5</v>
      </c>
      <c r="T31" s="2" t="s">
        <v>82</v>
      </c>
      <c r="U31" s="8">
        <f>U32+U33</f>
        <v>0.88790000000000002</v>
      </c>
    </row>
    <row r="32" spans="1:21" x14ac:dyDescent="0.25">
      <c r="A32" s="6">
        <v>46255</v>
      </c>
      <c r="B32" s="7" t="s">
        <v>343</v>
      </c>
      <c r="C32" s="7" t="s">
        <v>344</v>
      </c>
      <c r="D32" s="7" t="s">
        <v>1029</v>
      </c>
      <c r="F32" s="32"/>
      <c r="G32" s="32"/>
      <c r="H32" s="32"/>
      <c r="I32" s="32"/>
      <c r="J32" s="32"/>
      <c r="K32" s="32"/>
      <c r="M32" s="16" t="s">
        <v>0</v>
      </c>
      <c r="N32" s="1">
        <v>2025</v>
      </c>
      <c r="O32" s="22" t="s">
        <v>6</v>
      </c>
      <c r="P32" s="8" t="s">
        <v>282</v>
      </c>
      <c r="Q32" s="11" t="s">
        <v>11</v>
      </c>
      <c r="R32" s="8" t="s">
        <v>211</v>
      </c>
      <c r="T32" s="2" t="s">
        <v>83</v>
      </c>
      <c r="U32" s="8">
        <v>0.88790000000000002</v>
      </c>
    </row>
    <row r="33" spans="1:21" x14ac:dyDescent="0.25">
      <c r="A33" s="6">
        <v>46258</v>
      </c>
      <c r="B33" s="7" t="s">
        <v>981</v>
      </c>
      <c r="C33" s="7" t="s">
        <v>16</v>
      </c>
      <c r="D33" s="7" t="s">
        <v>56</v>
      </c>
      <c r="F33" s="2" t="s">
        <v>0</v>
      </c>
      <c r="G33" s="6">
        <v>46218</v>
      </c>
      <c r="H33" s="2" t="s">
        <v>2</v>
      </c>
      <c r="I33" s="1" t="s">
        <v>22</v>
      </c>
      <c r="J33" s="2" t="s">
        <v>11</v>
      </c>
      <c r="K33" s="1" t="s">
        <v>14</v>
      </c>
      <c r="M33" s="15" t="s">
        <v>283</v>
      </c>
      <c r="N33" s="3" t="s">
        <v>312</v>
      </c>
      <c r="O33" s="3" t="s">
        <v>313</v>
      </c>
      <c r="T33" s="2" t="s">
        <v>84</v>
      </c>
      <c r="U33" s="10">
        <v>0</v>
      </c>
    </row>
    <row r="34" spans="1:21" x14ac:dyDescent="0.25">
      <c r="A34" s="6">
        <v>46259</v>
      </c>
      <c r="B34" s="7" t="s">
        <v>8</v>
      </c>
      <c r="C34" s="7" t="s">
        <v>22</v>
      </c>
      <c r="D34" s="7" t="s">
        <v>989</v>
      </c>
      <c r="F34" s="32" t="s">
        <v>528</v>
      </c>
      <c r="G34" s="32"/>
      <c r="H34" s="32"/>
      <c r="I34" s="32"/>
      <c r="J34" s="32"/>
      <c r="K34" s="32"/>
      <c r="M34" s="15" t="s">
        <v>284</v>
      </c>
      <c r="N34" s="12" t="s">
        <v>314</v>
      </c>
      <c r="O34" s="12" t="s">
        <v>314</v>
      </c>
      <c r="T34" s="2" t="s">
        <v>115</v>
      </c>
      <c r="U34" s="8"/>
    </row>
    <row r="35" spans="1:21" x14ac:dyDescent="0.25">
      <c r="A35" s="6">
        <v>46266</v>
      </c>
      <c r="B35" s="7" t="s">
        <v>1051</v>
      </c>
      <c r="C35" s="7" t="s">
        <v>1033</v>
      </c>
      <c r="D35" s="7" t="s">
        <v>1047</v>
      </c>
      <c r="F35" s="32"/>
      <c r="G35" s="32"/>
      <c r="H35" s="32"/>
      <c r="I35" s="32"/>
      <c r="J35" s="32"/>
      <c r="K35" s="32"/>
      <c r="M35" s="11" t="s">
        <v>285</v>
      </c>
      <c r="N35" s="13">
        <v>5</v>
      </c>
      <c r="O35" s="13">
        <v>3.5</v>
      </c>
      <c r="T35" s="2" t="s">
        <v>11</v>
      </c>
      <c r="U35" s="8" t="s">
        <v>215</v>
      </c>
    </row>
    <row r="36" spans="1:21" x14ac:dyDescent="0.25">
      <c r="A36" s="6">
        <v>46266</v>
      </c>
      <c r="B36" s="7" t="s">
        <v>1048</v>
      </c>
      <c r="C36" s="7" t="s">
        <v>1033</v>
      </c>
      <c r="D36" s="7" t="s">
        <v>1049</v>
      </c>
      <c r="F36" s="32"/>
      <c r="G36" s="32"/>
      <c r="H36" s="32"/>
      <c r="I36" s="32"/>
      <c r="J36" s="32"/>
      <c r="K36" s="32"/>
      <c r="M36" s="11" t="s">
        <v>286</v>
      </c>
      <c r="N36" s="14">
        <v>8.3000000000000007</v>
      </c>
      <c r="O36" s="14">
        <v>8.5</v>
      </c>
      <c r="T36" s="2" t="s">
        <v>76</v>
      </c>
      <c r="U36" s="8" t="s">
        <v>216</v>
      </c>
    </row>
    <row r="37" spans="1:21" x14ac:dyDescent="0.25">
      <c r="A37" s="6">
        <v>46267</v>
      </c>
      <c r="B37" s="7" t="s">
        <v>1048</v>
      </c>
      <c r="C37" s="7" t="s">
        <v>1033</v>
      </c>
      <c r="D37" s="7" t="s">
        <v>1058</v>
      </c>
      <c r="F37" s="32"/>
      <c r="G37" s="32"/>
      <c r="H37" s="32"/>
      <c r="I37" s="32"/>
      <c r="J37" s="32"/>
      <c r="K37" s="32"/>
      <c r="M37" s="11" t="s">
        <v>287</v>
      </c>
      <c r="N37" s="1">
        <v>0.21</v>
      </c>
      <c r="O37" s="1">
        <v>0.14000000000000001</v>
      </c>
      <c r="T37" s="2" t="s">
        <v>77</v>
      </c>
      <c r="U37" s="8"/>
    </row>
    <row r="38" spans="1:21" x14ac:dyDescent="0.25">
      <c r="A38" s="6">
        <v>46276</v>
      </c>
      <c r="B38" s="7" t="s">
        <v>1130</v>
      </c>
      <c r="C38" s="7" t="s">
        <v>22</v>
      </c>
      <c r="D38" s="7" t="s">
        <v>1131</v>
      </c>
      <c r="F38" s="2" t="s">
        <v>0</v>
      </c>
      <c r="G38" s="6">
        <v>46219</v>
      </c>
      <c r="H38" s="2" t="s">
        <v>2</v>
      </c>
      <c r="I38" s="1" t="s">
        <v>47</v>
      </c>
      <c r="J38" s="2" t="s">
        <v>11</v>
      </c>
      <c r="K38" s="1" t="s">
        <v>14</v>
      </c>
      <c r="M38" s="11" t="s">
        <v>288</v>
      </c>
      <c r="N38" s="1">
        <v>1.74</v>
      </c>
      <c r="O38" s="1">
        <v>0.75</v>
      </c>
      <c r="T38" s="2" t="s">
        <v>78</v>
      </c>
      <c r="U38" s="8" t="s">
        <v>101</v>
      </c>
    </row>
    <row r="39" spans="1:21" x14ac:dyDescent="0.25">
      <c r="A39" s="6">
        <v>46280</v>
      </c>
      <c r="B39" s="7" t="s">
        <v>874</v>
      </c>
      <c r="C39" s="7" t="s">
        <v>22</v>
      </c>
      <c r="D39" s="7" t="s">
        <v>1168</v>
      </c>
      <c r="F39" s="32" t="s">
        <v>554</v>
      </c>
      <c r="G39" s="32"/>
      <c r="H39" s="32"/>
      <c r="I39" s="32"/>
      <c r="J39" s="32"/>
      <c r="K39" s="32"/>
      <c r="M39" s="11" t="s">
        <v>289</v>
      </c>
      <c r="N39" s="13">
        <v>3</v>
      </c>
      <c r="O39" s="13">
        <v>1.3</v>
      </c>
      <c r="T39" s="2" t="s">
        <v>92</v>
      </c>
      <c r="U39" s="8" t="s">
        <v>213</v>
      </c>
    </row>
    <row r="40" spans="1:21" x14ac:dyDescent="0.25">
      <c r="A40" s="6">
        <v>46280</v>
      </c>
      <c r="B40" s="7" t="s">
        <v>1172</v>
      </c>
      <c r="C40" s="7" t="s">
        <v>385</v>
      </c>
      <c r="D40" s="7" t="s">
        <v>1173</v>
      </c>
      <c r="F40" s="32"/>
      <c r="G40" s="32"/>
      <c r="H40" s="32"/>
      <c r="I40" s="32"/>
      <c r="J40" s="32"/>
      <c r="K40" s="32"/>
      <c r="M40" s="11" t="s">
        <v>290</v>
      </c>
      <c r="N40" s="13">
        <v>24</v>
      </c>
      <c r="O40" s="13">
        <v>29</v>
      </c>
      <c r="T40" s="2" t="s">
        <v>80</v>
      </c>
      <c r="U40" s="8" t="s">
        <v>214</v>
      </c>
    </row>
    <row r="41" spans="1:21" x14ac:dyDescent="0.25">
      <c r="A41" s="6">
        <v>46280</v>
      </c>
      <c r="B41" s="7" t="s">
        <v>1175</v>
      </c>
      <c r="C41" s="7" t="s">
        <v>588</v>
      </c>
      <c r="D41" s="7" t="s">
        <v>1159</v>
      </c>
      <c r="F41" s="32"/>
      <c r="G41" s="32"/>
      <c r="H41" s="32"/>
      <c r="I41" s="32"/>
      <c r="J41" s="32"/>
      <c r="K41" s="32"/>
      <c r="M41" s="11" t="s">
        <v>291</v>
      </c>
      <c r="N41" s="1">
        <v>7.2</v>
      </c>
      <c r="O41" s="1">
        <v>6.7</v>
      </c>
      <c r="T41" s="2" t="s">
        <v>81</v>
      </c>
      <c r="U41" s="8" t="s">
        <v>93</v>
      </c>
    </row>
    <row r="42" spans="1:21" x14ac:dyDescent="0.25">
      <c r="A42" s="6">
        <v>46282</v>
      </c>
      <c r="B42" s="7" t="s">
        <v>1184</v>
      </c>
      <c r="C42" s="7" t="s">
        <v>22</v>
      </c>
      <c r="D42" s="7" t="s">
        <v>1185</v>
      </c>
      <c r="F42" s="32"/>
      <c r="G42" s="32"/>
      <c r="H42" s="32"/>
      <c r="I42" s="32"/>
      <c r="J42" s="32"/>
      <c r="K42" s="32"/>
      <c r="M42" s="11" t="s">
        <v>292</v>
      </c>
      <c r="N42" s="13">
        <v>0.13</v>
      </c>
      <c r="O42" s="13">
        <v>0.19</v>
      </c>
      <c r="T42" s="2" t="s">
        <v>82</v>
      </c>
      <c r="U42" s="8">
        <f>U43+U44</f>
        <v>0.50129999999999997</v>
      </c>
    </row>
    <row r="43" spans="1:21" x14ac:dyDescent="0.25">
      <c r="A43" s="6">
        <v>46288</v>
      </c>
      <c r="B43" s="7" t="s">
        <v>987</v>
      </c>
      <c r="C43" s="7" t="s">
        <v>588</v>
      </c>
      <c r="D43" s="7" t="s">
        <v>1251</v>
      </c>
      <c r="F43" s="2" t="s">
        <v>0</v>
      </c>
      <c r="G43" s="6">
        <v>46225</v>
      </c>
      <c r="H43" s="2" t="s">
        <v>2</v>
      </c>
      <c r="I43" s="1" t="s">
        <v>22</v>
      </c>
      <c r="J43" s="2" t="s">
        <v>11</v>
      </c>
      <c r="K43" s="1" t="s">
        <v>14</v>
      </c>
      <c r="M43" s="11" t="s">
        <v>293</v>
      </c>
      <c r="N43" s="14">
        <v>16</v>
      </c>
      <c r="O43" s="14">
        <v>20</v>
      </c>
      <c r="T43" s="2" t="s">
        <v>83</v>
      </c>
      <c r="U43" s="8">
        <v>0.50129999999999997</v>
      </c>
    </row>
    <row r="44" spans="1:21" x14ac:dyDescent="0.25">
      <c r="A44" s="6">
        <v>46288</v>
      </c>
      <c r="B44" s="7" t="s">
        <v>1250</v>
      </c>
      <c r="C44" s="7" t="s">
        <v>588</v>
      </c>
      <c r="D44" s="7" t="s">
        <v>1252</v>
      </c>
      <c r="F44" s="32" t="s">
        <v>594</v>
      </c>
      <c r="G44" s="32"/>
      <c r="H44" s="32"/>
      <c r="I44" s="32"/>
      <c r="J44" s="32"/>
      <c r="K44" s="32"/>
      <c r="M44" s="11" t="s">
        <v>294</v>
      </c>
      <c r="N44" s="1">
        <v>16.2</v>
      </c>
      <c r="O44" s="1">
        <v>21.8</v>
      </c>
      <c r="T44" s="2" t="s">
        <v>84</v>
      </c>
      <c r="U44" s="10">
        <v>0</v>
      </c>
    </row>
    <row r="45" spans="1:21" x14ac:dyDescent="0.25">
      <c r="F45" s="32"/>
      <c r="G45" s="32"/>
      <c r="H45" s="32"/>
      <c r="I45" s="32"/>
      <c r="J45" s="32"/>
      <c r="K45" s="32"/>
      <c r="M45" s="11" t="s">
        <v>295</v>
      </c>
      <c r="N45" s="1">
        <v>622</v>
      </c>
      <c r="O45" s="1">
        <v>198</v>
      </c>
      <c r="T45" s="2" t="s">
        <v>115</v>
      </c>
      <c r="U45" s="8"/>
    </row>
    <row r="46" spans="1:21" x14ac:dyDescent="0.25">
      <c r="F46" s="32"/>
      <c r="G46" s="32"/>
      <c r="H46" s="32"/>
      <c r="I46" s="32"/>
      <c r="J46" s="32"/>
      <c r="K46" s="32"/>
      <c r="M46" s="11" t="s">
        <v>296</v>
      </c>
      <c r="N46" s="1">
        <v>6709</v>
      </c>
      <c r="O46" s="1">
        <v>6428</v>
      </c>
      <c r="T46" s="2" t="s">
        <v>11</v>
      </c>
      <c r="U46" s="8" t="s">
        <v>217</v>
      </c>
    </row>
    <row r="47" spans="1:21" x14ac:dyDescent="0.25">
      <c r="F47" s="32"/>
      <c r="G47" s="32"/>
      <c r="H47" s="32"/>
      <c r="I47" s="32"/>
      <c r="J47" s="32"/>
      <c r="K47" s="32"/>
      <c r="M47" s="11" t="s">
        <v>297</v>
      </c>
      <c r="N47" s="1">
        <v>232</v>
      </c>
      <c r="O47" s="1">
        <v>170</v>
      </c>
      <c r="T47" s="2" t="s">
        <v>76</v>
      </c>
      <c r="U47" s="8" t="s">
        <v>218</v>
      </c>
    </row>
    <row r="48" spans="1:21" x14ac:dyDescent="0.25">
      <c r="F48" s="2" t="s">
        <v>0</v>
      </c>
      <c r="G48" s="6">
        <v>46228</v>
      </c>
      <c r="H48" s="2" t="s">
        <v>2</v>
      </c>
      <c r="I48" s="1" t="s">
        <v>47</v>
      </c>
      <c r="J48" s="2" t="s">
        <v>11</v>
      </c>
      <c r="K48" s="1" t="s">
        <v>14</v>
      </c>
      <c r="M48" s="11" t="s">
        <v>298</v>
      </c>
      <c r="N48" s="1">
        <v>32</v>
      </c>
      <c r="O48" s="1">
        <v>18</v>
      </c>
      <c r="T48" s="2" t="s">
        <v>77</v>
      </c>
      <c r="U48" s="8"/>
    </row>
    <row r="49" spans="6:21" x14ac:dyDescent="0.25">
      <c r="F49" s="32" t="s">
        <v>650</v>
      </c>
      <c r="G49" s="32"/>
      <c r="H49" s="32"/>
      <c r="I49" s="32"/>
      <c r="J49" s="32"/>
      <c r="K49" s="32"/>
      <c r="M49" s="11" t="s">
        <v>299</v>
      </c>
      <c r="N49" s="1" t="s">
        <v>56</v>
      </c>
      <c r="O49" s="1" t="s">
        <v>56</v>
      </c>
      <c r="T49" s="2" t="s">
        <v>78</v>
      </c>
      <c r="U49" s="8" t="s">
        <v>219</v>
      </c>
    </row>
    <row r="50" spans="6:21" x14ac:dyDescent="0.25">
      <c r="F50" s="32"/>
      <c r="G50" s="32"/>
      <c r="H50" s="32"/>
      <c r="I50" s="32"/>
      <c r="J50" s="32"/>
      <c r="K50" s="32"/>
      <c r="M50" s="11" t="s">
        <v>300</v>
      </c>
      <c r="N50" s="1" t="s">
        <v>56</v>
      </c>
      <c r="O50" s="1" t="s">
        <v>56</v>
      </c>
      <c r="T50" s="2" t="s">
        <v>92</v>
      </c>
      <c r="U50" s="8" t="s">
        <v>220</v>
      </c>
    </row>
    <row r="51" spans="6:21" x14ac:dyDescent="0.25">
      <c r="F51" s="32"/>
      <c r="G51" s="32"/>
      <c r="H51" s="32"/>
      <c r="I51" s="32"/>
      <c r="J51" s="32"/>
      <c r="K51" s="32"/>
      <c r="M51" s="11" t="s">
        <v>301</v>
      </c>
      <c r="N51" s="1" t="s">
        <v>56</v>
      </c>
      <c r="O51" s="1" t="s">
        <v>56</v>
      </c>
      <c r="T51" s="2" t="s">
        <v>80</v>
      </c>
      <c r="U51" s="8" t="s">
        <v>93</v>
      </c>
    </row>
    <row r="52" spans="6:21" x14ac:dyDescent="0.25">
      <c r="F52" s="2" t="s">
        <v>0</v>
      </c>
      <c r="G52" s="6">
        <v>46229</v>
      </c>
      <c r="H52" s="2" t="s">
        <v>2</v>
      </c>
      <c r="I52" s="1" t="s">
        <v>16</v>
      </c>
      <c r="J52" s="2" t="s">
        <v>11</v>
      </c>
      <c r="K52" s="1" t="s">
        <v>14</v>
      </c>
      <c r="M52" s="11" t="s">
        <v>302</v>
      </c>
      <c r="N52" s="1" t="s">
        <v>56</v>
      </c>
      <c r="O52" s="1" t="s">
        <v>56</v>
      </c>
      <c r="T52" s="2" t="s">
        <v>81</v>
      </c>
      <c r="U52" s="8" t="s">
        <v>93</v>
      </c>
    </row>
    <row r="53" spans="6:21" x14ac:dyDescent="0.25">
      <c r="F53" s="32" t="s">
        <v>637</v>
      </c>
      <c r="G53" s="32"/>
      <c r="H53" s="32"/>
      <c r="I53" s="32"/>
      <c r="J53" s="32"/>
      <c r="K53" s="32"/>
      <c r="M53" s="11" t="s">
        <v>303</v>
      </c>
      <c r="N53" s="1" t="s">
        <v>56</v>
      </c>
      <c r="O53" s="1" t="s">
        <v>56</v>
      </c>
      <c r="T53" s="2" t="s">
        <v>82</v>
      </c>
      <c r="U53" s="8">
        <f>U54+U55</f>
        <v>7.8299999999999995E-2</v>
      </c>
    </row>
    <row r="54" spans="6:21" x14ac:dyDescent="0.25">
      <c r="F54" s="32"/>
      <c r="G54" s="32"/>
      <c r="H54" s="32"/>
      <c r="I54" s="32"/>
      <c r="J54" s="32"/>
      <c r="K54" s="32"/>
      <c r="M54" s="11" t="s">
        <v>304</v>
      </c>
      <c r="N54" s="13" t="s">
        <v>56</v>
      </c>
      <c r="O54" s="13" t="s">
        <v>56</v>
      </c>
      <c r="T54" s="2" t="s">
        <v>83</v>
      </c>
      <c r="U54" s="8">
        <v>7.8299999999999995E-2</v>
      </c>
    </row>
    <row r="55" spans="6:21" x14ac:dyDescent="0.25">
      <c r="F55" s="32"/>
      <c r="G55" s="32"/>
      <c r="H55" s="32"/>
      <c r="I55" s="32"/>
      <c r="J55" s="32"/>
      <c r="K55" s="32"/>
      <c r="M55" s="11" t="s">
        <v>305</v>
      </c>
      <c r="N55" s="1">
        <v>13</v>
      </c>
      <c r="O55" s="1">
        <v>4</v>
      </c>
      <c r="T55" s="2" t="s">
        <v>84</v>
      </c>
      <c r="U55" s="10">
        <v>0</v>
      </c>
    </row>
    <row r="56" spans="6:21" x14ac:dyDescent="0.25">
      <c r="F56" s="2" t="s">
        <v>0</v>
      </c>
      <c r="G56" s="6">
        <v>46230</v>
      </c>
      <c r="H56" s="2" t="s">
        <v>2</v>
      </c>
      <c r="I56" s="1" t="s">
        <v>22</v>
      </c>
      <c r="J56" s="2" t="s">
        <v>11</v>
      </c>
      <c r="K56" s="1" t="s">
        <v>14</v>
      </c>
      <c r="M56" s="11" t="s">
        <v>306</v>
      </c>
      <c r="N56" s="14">
        <v>29</v>
      </c>
      <c r="O56" s="14">
        <v>37.799999999999997</v>
      </c>
      <c r="T56" s="2" t="s">
        <v>115</v>
      </c>
      <c r="U56" s="8">
        <v>2026</v>
      </c>
    </row>
    <row r="57" spans="6:21" x14ac:dyDescent="0.25">
      <c r="F57" s="32" t="s">
        <v>656</v>
      </c>
      <c r="G57" s="32"/>
      <c r="H57" s="32"/>
      <c r="I57" s="32"/>
      <c r="J57" s="32"/>
      <c r="K57" s="32"/>
      <c r="M57" s="11" t="s">
        <v>307</v>
      </c>
      <c r="N57" s="1">
        <v>0.4</v>
      </c>
      <c r="O57" s="1">
        <v>0.9</v>
      </c>
      <c r="T57" s="2" t="s">
        <v>11</v>
      </c>
      <c r="U57" s="8" t="s">
        <v>221</v>
      </c>
    </row>
    <row r="58" spans="6:21" x14ac:dyDescent="0.25">
      <c r="F58" s="32"/>
      <c r="G58" s="32"/>
      <c r="H58" s="32"/>
      <c r="I58" s="32"/>
      <c r="J58" s="32"/>
      <c r="K58" s="32"/>
      <c r="M58" s="11" t="s">
        <v>308</v>
      </c>
      <c r="N58" s="1">
        <v>10.8</v>
      </c>
      <c r="O58" s="1">
        <v>32.5</v>
      </c>
      <c r="T58" s="2" t="s">
        <v>76</v>
      </c>
      <c r="U58" s="8" t="s">
        <v>222</v>
      </c>
    </row>
    <row r="59" spans="6:21" x14ac:dyDescent="0.25">
      <c r="F59" s="32"/>
      <c r="G59" s="32"/>
      <c r="H59" s="32"/>
      <c r="I59" s="32"/>
      <c r="J59" s="32"/>
      <c r="K59" s="32"/>
      <c r="M59" s="11" t="s">
        <v>309</v>
      </c>
      <c r="N59" s="1" t="s">
        <v>56</v>
      </c>
      <c r="O59" s="1" t="s">
        <v>56</v>
      </c>
      <c r="T59" s="2" t="s">
        <v>77</v>
      </c>
      <c r="U59" s="8"/>
    </row>
    <row r="60" spans="6:21" x14ac:dyDescent="0.25">
      <c r="F60" s="2" t="s">
        <v>0</v>
      </c>
      <c r="G60" s="6">
        <v>46232</v>
      </c>
      <c r="H60" s="2" t="s">
        <v>2</v>
      </c>
      <c r="I60" s="1" t="s">
        <v>22</v>
      </c>
      <c r="J60" s="2" t="s">
        <v>11</v>
      </c>
      <c r="K60" s="1" t="s">
        <v>14</v>
      </c>
      <c r="M60" s="11" t="s">
        <v>310</v>
      </c>
      <c r="N60" s="1" t="s">
        <v>56</v>
      </c>
      <c r="O60" s="1" t="s">
        <v>56</v>
      </c>
      <c r="T60" s="2" t="s">
        <v>78</v>
      </c>
      <c r="U60" s="8" t="s">
        <v>219</v>
      </c>
    </row>
    <row r="61" spans="6:21" ht="14.45" customHeight="1" x14ac:dyDescent="0.25">
      <c r="F61" s="32" t="s">
        <v>699</v>
      </c>
      <c r="G61" s="32"/>
      <c r="H61" s="32"/>
      <c r="I61" s="32"/>
      <c r="J61" s="32"/>
      <c r="K61" s="32"/>
      <c r="M61" s="11" t="s">
        <v>311</v>
      </c>
      <c r="N61" s="1" t="s">
        <v>56</v>
      </c>
      <c r="O61" s="1" t="s">
        <v>56</v>
      </c>
      <c r="T61" s="2" t="s">
        <v>92</v>
      </c>
      <c r="U61" s="8" t="s">
        <v>220</v>
      </c>
    </row>
    <row r="62" spans="6:21" x14ac:dyDescent="0.25">
      <c r="F62" s="32"/>
      <c r="G62" s="32"/>
      <c r="H62" s="32"/>
      <c r="I62" s="32"/>
      <c r="J62" s="32"/>
      <c r="K62" s="32"/>
      <c r="T62" s="2" t="s">
        <v>80</v>
      </c>
      <c r="U62" s="8" t="s">
        <v>93</v>
      </c>
    </row>
    <row r="63" spans="6:21" x14ac:dyDescent="0.25">
      <c r="F63" s="32"/>
      <c r="G63" s="32"/>
      <c r="H63" s="32"/>
      <c r="I63" s="32"/>
      <c r="J63" s="32"/>
      <c r="K63" s="32"/>
      <c r="T63" s="2" t="s">
        <v>81</v>
      </c>
      <c r="U63" s="8" t="s">
        <v>93</v>
      </c>
    </row>
    <row r="64" spans="6:21" x14ac:dyDescent="0.25">
      <c r="F64" s="32"/>
      <c r="G64" s="32"/>
      <c r="H64" s="32"/>
      <c r="I64" s="32"/>
      <c r="J64" s="32"/>
      <c r="K64" s="32"/>
      <c r="T64" s="2" t="s">
        <v>82</v>
      </c>
      <c r="U64" s="10">
        <f>U65+U66</f>
        <v>8.5999999999999993E-2</v>
      </c>
    </row>
    <row r="65" spans="6:21" x14ac:dyDescent="0.25">
      <c r="F65" s="32"/>
      <c r="G65" s="32"/>
      <c r="H65" s="32"/>
      <c r="I65" s="32"/>
      <c r="J65" s="32"/>
      <c r="K65" s="32"/>
      <c r="T65" s="2" t="s">
        <v>83</v>
      </c>
      <c r="U65" s="10">
        <v>8.5999999999999993E-2</v>
      </c>
    </row>
    <row r="66" spans="6:21" x14ac:dyDescent="0.25">
      <c r="F66" s="32"/>
      <c r="G66" s="32"/>
      <c r="H66" s="32"/>
      <c r="I66" s="32"/>
      <c r="J66" s="32"/>
      <c r="K66" s="32"/>
      <c r="T66" s="2" t="s">
        <v>84</v>
      </c>
      <c r="U66" s="10">
        <v>0</v>
      </c>
    </row>
    <row r="67" spans="6:21" x14ac:dyDescent="0.25">
      <c r="F67" s="2" t="s">
        <v>0</v>
      </c>
      <c r="G67" s="6">
        <v>46233</v>
      </c>
      <c r="H67" s="2" t="s">
        <v>2</v>
      </c>
      <c r="I67" s="1" t="s">
        <v>22</v>
      </c>
      <c r="J67" s="2" t="s">
        <v>11</v>
      </c>
      <c r="K67" s="1" t="s">
        <v>14</v>
      </c>
      <c r="T67" s="2" t="s">
        <v>115</v>
      </c>
      <c r="U67" s="8">
        <v>2026</v>
      </c>
    </row>
    <row r="68" spans="6:21" ht="14.45" customHeight="1" x14ac:dyDescent="0.25">
      <c r="F68" s="32" t="s">
        <v>700</v>
      </c>
      <c r="G68" s="32"/>
      <c r="H68" s="32"/>
      <c r="I68" s="32"/>
      <c r="J68" s="32"/>
      <c r="K68" s="32"/>
      <c r="T68" s="2" t="s">
        <v>11</v>
      </c>
      <c r="U68" s="8" t="s">
        <v>224</v>
      </c>
    </row>
    <row r="69" spans="6:21" x14ac:dyDescent="0.25">
      <c r="F69" s="32"/>
      <c r="G69" s="32"/>
      <c r="H69" s="32"/>
      <c r="I69" s="32"/>
      <c r="J69" s="32"/>
      <c r="K69" s="32"/>
      <c r="T69" s="2" t="s">
        <v>76</v>
      </c>
      <c r="U69" s="8" t="s">
        <v>223</v>
      </c>
    </row>
    <row r="70" spans="6:21" x14ac:dyDescent="0.25">
      <c r="F70" s="32"/>
      <c r="G70" s="32"/>
      <c r="H70" s="32"/>
      <c r="I70" s="32"/>
      <c r="J70" s="32"/>
      <c r="K70" s="32"/>
      <c r="T70" s="2" t="s">
        <v>77</v>
      </c>
      <c r="U70" s="8" t="s">
        <v>93</v>
      </c>
    </row>
    <row r="71" spans="6:21" x14ac:dyDescent="0.25">
      <c r="F71" s="32"/>
      <c r="G71" s="32"/>
      <c r="H71" s="32"/>
      <c r="I71" s="32"/>
      <c r="J71" s="32"/>
      <c r="K71" s="32"/>
      <c r="T71" s="2" t="s">
        <v>78</v>
      </c>
      <c r="U71" s="8" t="s">
        <v>206</v>
      </c>
    </row>
    <row r="72" spans="6:21" x14ac:dyDescent="0.25">
      <c r="F72" s="2" t="s">
        <v>0</v>
      </c>
      <c r="G72" s="6">
        <v>46236</v>
      </c>
      <c r="H72" s="2" t="s">
        <v>2</v>
      </c>
      <c r="I72" s="1" t="s">
        <v>22</v>
      </c>
      <c r="J72" s="2" t="s">
        <v>11</v>
      </c>
      <c r="K72" s="1" t="s">
        <v>14</v>
      </c>
      <c r="T72" s="2" t="s">
        <v>92</v>
      </c>
      <c r="U72" s="8" t="s">
        <v>93</v>
      </c>
    </row>
    <row r="73" spans="6:21" x14ac:dyDescent="0.25">
      <c r="F73" s="32" t="s">
        <v>729</v>
      </c>
      <c r="G73" s="32"/>
      <c r="H73" s="32"/>
      <c r="I73" s="32"/>
      <c r="J73" s="32"/>
      <c r="K73" s="32"/>
      <c r="T73" s="2" t="s">
        <v>80</v>
      </c>
      <c r="U73" s="8" t="s">
        <v>93</v>
      </c>
    </row>
    <row r="74" spans="6:21" x14ac:dyDescent="0.25">
      <c r="F74" s="32"/>
      <c r="G74" s="32"/>
      <c r="H74" s="32"/>
      <c r="I74" s="32"/>
      <c r="J74" s="32"/>
      <c r="K74" s="32"/>
      <c r="T74" s="2" t="s">
        <v>81</v>
      </c>
      <c r="U74" s="8" t="s">
        <v>93</v>
      </c>
    </row>
    <row r="75" spans="6:21" x14ac:dyDescent="0.25">
      <c r="F75" s="32"/>
      <c r="G75" s="32"/>
      <c r="H75" s="32"/>
      <c r="I75" s="32"/>
      <c r="J75" s="32"/>
      <c r="K75" s="32"/>
      <c r="T75" s="2" t="s">
        <v>82</v>
      </c>
      <c r="U75" s="8">
        <f>U76+U77</f>
        <v>0.15920000000000001</v>
      </c>
    </row>
    <row r="76" spans="6:21" x14ac:dyDescent="0.25">
      <c r="F76" s="32"/>
      <c r="G76" s="32"/>
      <c r="H76" s="32"/>
      <c r="I76" s="32"/>
      <c r="J76" s="32"/>
      <c r="K76" s="32"/>
      <c r="T76" s="2" t="s">
        <v>83</v>
      </c>
      <c r="U76" s="10">
        <v>0.15920000000000001</v>
      </c>
    </row>
    <row r="77" spans="6:21" x14ac:dyDescent="0.25">
      <c r="F77" s="2" t="s">
        <v>0</v>
      </c>
      <c r="G77" s="6">
        <v>46237</v>
      </c>
      <c r="H77" s="2" t="s">
        <v>2</v>
      </c>
      <c r="I77" s="1" t="s">
        <v>22</v>
      </c>
      <c r="J77" s="2" t="s">
        <v>11</v>
      </c>
      <c r="K77" s="1" t="s">
        <v>219</v>
      </c>
      <c r="T77" s="2" t="s">
        <v>84</v>
      </c>
      <c r="U77" s="10">
        <v>0</v>
      </c>
    </row>
    <row r="78" spans="6:21" x14ac:dyDescent="0.25">
      <c r="F78" s="32" t="s">
        <v>734</v>
      </c>
      <c r="G78" s="32"/>
      <c r="H78" s="32"/>
      <c r="I78" s="32"/>
      <c r="J78" s="32"/>
      <c r="K78" s="32"/>
      <c r="T78" s="2" t="s">
        <v>115</v>
      </c>
      <c r="U78" s="8" t="s">
        <v>93</v>
      </c>
    </row>
    <row r="79" spans="6:21" x14ac:dyDescent="0.25">
      <c r="F79" s="32"/>
      <c r="G79" s="32"/>
      <c r="H79" s="32"/>
      <c r="I79" s="32"/>
      <c r="J79" s="32"/>
      <c r="K79" s="32"/>
      <c r="T79" s="2" t="s">
        <v>85</v>
      </c>
      <c r="U79" s="10">
        <f>U76+U65+U54+U43+U32+U21+U10</f>
        <v>2.2696000000000001</v>
      </c>
    </row>
    <row r="80" spans="6:21" x14ac:dyDescent="0.25">
      <c r="F80" s="32"/>
      <c r="G80" s="32"/>
      <c r="H80" s="32"/>
      <c r="I80" s="32"/>
      <c r="J80" s="32"/>
      <c r="K80" s="32"/>
      <c r="T80" s="2" t="s">
        <v>86</v>
      </c>
      <c r="U80" s="10">
        <f>U79*12.032</f>
        <v>27.307827200000002</v>
      </c>
    </row>
    <row r="81" spans="6:11" x14ac:dyDescent="0.25">
      <c r="F81" s="32"/>
      <c r="G81" s="32"/>
      <c r="H81" s="32"/>
      <c r="I81" s="32"/>
      <c r="J81" s="32"/>
      <c r="K81" s="32"/>
    </row>
    <row r="82" spans="6:11" x14ac:dyDescent="0.25">
      <c r="F82" s="2" t="s">
        <v>0</v>
      </c>
      <c r="G82" s="6">
        <v>46239</v>
      </c>
      <c r="H82" s="2" t="s">
        <v>2</v>
      </c>
      <c r="I82" s="1" t="s">
        <v>47</v>
      </c>
      <c r="J82" s="2" t="s">
        <v>11</v>
      </c>
      <c r="K82" s="1" t="s">
        <v>14</v>
      </c>
    </row>
    <row r="83" spans="6:11" ht="14.45" customHeight="1" x14ac:dyDescent="0.25">
      <c r="F83" s="32" t="s">
        <v>763</v>
      </c>
      <c r="G83" s="32"/>
      <c r="H83" s="32"/>
      <c r="I83" s="32"/>
      <c r="J83" s="32"/>
      <c r="K83" s="32"/>
    </row>
    <row r="84" spans="6:11" x14ac:dyDescent="0.25">
      <c r="F84" s="32"/>
      <c r="G84" s="32"/>
      <c r="H84" s="32"/>
      <c r="I84" s="32"/>
      <c r="J84" s="32"/>
      <c r="K84" s="32"/>
    </row>
    <row r="85" spans="6:11" x14ac:dyDescent="0.25">
      <c r="F85" s="32"/>
      <c r="G85" s="32"/>
      <c r="H85" s="32"/>
      <c r="I85" s="32"/>
      <c r="J85" s="32"/>
      <c r="K85" s="32"/>
    </row>
    <row r="86" spans="6:11" x14ac:dyDescent="0.25">
      <c r="F86" s="32"/>
      <c r="G86" s="32"/>
      <c r="H86" s="32"/>
      <c r="I86" s="32"/>
      <c r="J86" s="32"/>
      <c r="K86" s="32"/>
    </row>
    <row r="87" spans="6:11" x14ac:dyDescent="0.25">
      <c r="F87" s="32"/>
      <c r="G87" s="32"/>
      <c r="H87" s="32"/>
      <c r="I87" s="32"/>
      <c r="J87" s="32"/>
      <c r="K87" s="32"/>
    </row>
    <row r="88" spans="6:11" x14ac:dyDescent="0.25">
      <c r="F88" s="2" t="s">
        <v>0</v>
      </c>
      <c r="G88" s="6">
        <v>46241</v>
      </c>
      <c r="H88" s="2" t="s">
        <v>2</v>
      </c>
      <c r="I88" s="1" t="s">
        <v>47</v>
      </c>
      <c r="J88" s="2" t="s">
        <v>11</v>
      </c>
      <c r="K88" s="1" t="s">
        <v>14</v>
      </c>
    </row>
    <row r="89" spans="6:11" ht="14.45" customHeight="1" x14ac:dyDescent="0.25">
      <c r="F89" s="32" t="s">
        <v>806</v>
      </c>
      <c r="G89" s="32"/>
      <c r="H89" s="32"/>
      <c r="I89" s="32"/>
      <c r="J89" s="32"/>
      <c r="K89" s="32"/>
    </row>
    <row r="90" spans="6:11" x14ac:dyDescent="0.25">
      <c r="F90" s="32"/>
      <c r="G90" s="32"/>
      <c r="H90" s="32"/>
      <c r="I90" s="32"/>
      <c r="J90" s="32"/>
      <c r="K90" s="32"/>
    </row>
    <row r="91" spans="6:11" x14ac:dyDescent="0.25">
      <c r="F91" s="32"/>
      <c r="G91" s="32"/>
      <c r="H91" s="32"/>
      <c r="I91" s="32"/>
      <c r="J91" s="32"/>
      <c r="K91" s="32"/>
    </row>
    <row r="92" spans="6:11" x14ac:dyDescent="0.25">
      <c r="F92" s="32"/>
      <c r="G92" s="32"/>
      <c r="H92" s="32"/>
      <c r="I92" s="32"/>
      <c r="J92" s="32"/>
      <c r="K92" s="32"/>
    </row>
    <row r="93" spans="6:11" x14ac:dyDescent="0.25">
      <c r="F93" s="32"/>
      <c r="G93" s="32"/>
      <c r="H93" s="32"/>
      <c r="I93" s="32"/>
      <c r="J93" s="32"/>
      <c r="K93" s="32"/>
    </row>
    <row r="94" spans="6:11" x14ac:dyDescent="0.25">
      <c r="F94" s="32"/>
      <c r="G94" s="32"/>
      <c r="H94" s="32"/>
      <c r="I94" s="32"/>
      <c r="J94" s="32"/>
      <c r="K94" s="32"/>
    </row>
    <row r="95" spans="6:11" x14ac:dyDescent="0.25">
      <c r="F95" s="32"/>
      <c r="G95" s="32"/>
      <c r="H95" s="32"/>
      <c r="I95" s="32"/>
      <c r="J95" s="32"/>
      <c r="K95" s="32"/>
    </row>
    <row r="96" spans="6:11" x14ac:dyDescent="0.25">
      <c r="F96" s="2" t="s">
        <v>0</v>
      </c>
      <c r="G96" s="6">
        <v>46243</v>
      </c>
      <c r="H96" s="2" t="s">
        <v>2</v>
      </c>
      <c r="I96" s="1" t="s">
        <v>16</v>
      </c>
      <c r="J96" s="2" t="s">
        <v>11</v>
      </c>
      <c r="K96" s="1" t="s">
        <v>14</v>
      </c>
    </row>
    <row r="97" spans="6:11" x14ac:dyDescent="0.25">
      <c r="F97" s="32" t="s">
        <v>835</v>
      </c>
      <c r="G97" s="32"/>
      <c r="H97" s="32"/>
      <c r="I97" s="32"/>
      <c r="J97" s="32"/>
      <c r="K97" s="32"/>
    </row>
    <row r="98" spans="6:11" x14ac:dyDescent="0.25">
      <c r="F98" s="32"/>
      <c r="G98" s="32"/>
      <c r="H98" s="32"/>
      <c r="I98" s="32"/>
      <c r="J98" s="32"/>
      <c r="K98" s="32"/>
    </row>
    <row r="99" spans="6:11" x14ac:dyDescent="0.25">
      <c r="F99" s="32"/>
      <c r="G99" s="32"/>
      <c r="H99" s="32"/>
      <c r="I99" s="32"/>
      <c r="J99" s="32"/>
      <c r="K99" s="32"/>
    </row>
    <row r="100" spans="6:11" x14ac:dyDescent="0.25">
      <c r="F100" s="32"/>
      <c r="G100" s="32"/>
      <c r="H100" s="32"/>
      <c r="I100" s="32"/>
      <c r="J100" s="32"/>
      <c r="K100" s="32"/>
    </row>
    <row r="101" spans="6:11" x14ac:dyDescent="0.25">
      <c r="F101" s="2" t="s">
        <v>0</v>
      </c>
      <c r="G101" s="6">
        <v>46246</v>
      </c>
      <c r="H101" s="2" t="s">
        <v>2</v>
      </c>
      <c r="I101" s="1" t="s">
        <v>15</v>
      </c>
      <c r="J101" s="2" t="s">
        <v>11</v>
      </c>
      <c r="K101" s="1" t="s">
        <v>14</v>
      </c>
    </row>
    <row r="102" spans="6:11" x14ac:dyDescent="0.25">
      <c r="F102" s="32" t="s">
        <v>873</v>
      </c>
      <c r="G102" s="32"/>
      <c r="H102" s="32"/>
      <c r="I102" s="32"/>
      <c r="J102" s="32"/>
      <c r="K102" s="32"/>
    </row>
    <row r="103" spans="6:11" x14ac:dyDescent="0.25">
      <c r="F103" s="32"/>
      <c r="G103" s="32"/>
      <c r="H103" s="32"/>
      <c r="I103" s="32"/>
      <c r="J103" s="32"/>
      <c r="K103" s="32"/>
    </row>
    <row r="104" spans="6:11" x14ac:dyDescent="0.25">
      <c r="F104" s="32"/>
      <c r="G104" s="32"/>
      <c r="H104" s="32"/>
      <c r="I104" s="32"/>
      <c r="J104" s="32"/>
      <c r="K104" s="32"/>
    </row>
    <row r="105" spans="6:11" x14ac:dyDescent="0.25">
      <c r="F105" s="2" t="s">
        <v>0</v>
      </c>
      <c r="G105" s="6">
        <v>46247</v>
      </c>
      <c r="H105" s="2" t="s">
        <v>2</v>
      </c>
      <c r="I105" s="1" t="s">
        <v>22</v>
      </c>
      <c r="J105" s="2" t="s">
        <v>11</v>
      </c>
      <c r="K105" s="1" t="s">
        <v>14</v>
      </c>
    </row>
    <row r="106" spans="6:11" x14ac:dyDescent="0.25">
      <c r="F106" s="32" t="s">
        <v>884</v>
      </c>
      <c r="G106" s="32"/>
      <c r="H106" s="32"/>
      <c r="I106" s="32"/>
      <c r="J106" s="32"/>
      <c r="K106" s="32"/>
    </row>
    <row r="107" spans="6:11" x14ac:dyDescent="0.25">
      <c r="F107" s="32"/>
      <c r="G107" s="32"/>
      <c r="H107" s="32"/>
      <c r="I107" s="32"/>
      <c r="J107" s="32"/>
      <c r="K107" s="32"/>
    </row>
    <row r="108" spans="6:11" x14ac:dyDescent="0.25">
      <c r="F108" s="32"/>
      <c r="G108" s="32"/>
      <c r="H108" s="32"/>
      <c r="I108" s="32"/>
      <c r="J108" s="32"/>
      <c r="K108" s="32"/>
    </row>
    <row r="109" spans="6:11" x14ac:dyDescent="0.25">
      <c r="F109" s="2" t="s">
        <v>0</v>
      </c>
      <c r="G109" s="6">
        <v>46248</v>
      </c>
      <c r="H109" s="2" t="s">
        <v>2</v>
      </c>
      <c r="I109" s="1" t="s">
        <v>47</v>
      </c>
      <c r="J109" s="2" t="s">
        <v>11</v>
      </c>
      <c r="K109" s="1" t="s">
        <v>14</v>
      </c>
    </row>
    <row r="110" spans="6:11" ht="14.45" customHeight="1" x14ac:dyDescent="0.25">
      <c r="F110" s="32" t="s">
        <v>896</v>
      </c>
      <c r="G110" s="32"/>
      <c r="H110" s="32"/>
      <c r="I110" s="32"/>
      <c r="J110" s="32"/>
      <c r="K110" s="32"/>
    </row>
    <row r="111" spans="6:11" x14ac:dyDescent="0.25">
      <c r="F111" s="32"/>
      <c r="G111" s="32"/>
      <c r="H111" s="32"/>
      <c r="I111" s="32"/>
      <c r="J111" s="32"/>
      <c r="K111" s="32"/>
    </row>
    <row r="112" spans="6:11" x14ac:dyDescent="0.25">
      <c r="F112" s="32"/>
      <c r="G112" s="32"/>
      <c r="H112" s="32"/>
      <c r="I112" s="32"/>
      <c r="J112" s="32"/>
      <c r="K112" s="32"/>
    </row>
    <row r="113" spans="6:11" x14ac:dyDescent="0.25">
      <c r="F113" s="32"/>
      <c r="G113" s="32"/>
      <c r="H113" s="32"/>
      <c r="I113" s="32"/>
      <c r="J113" s="32"/>
      <c r="K113" s="32"/>
    </row>
    <row r="114" spans="6:11" x14ac:dyDescent="0.25">
      <c r="F114" s="32"/>
      <c r="G114" s="32"/>
      <c r="H114" s="32"/>
      <c r="I114" s="32"/>
      <c r="J114" s="32"/>
      <c r="K114" s="32"/>
    </row>
    <row r="115" spans="6:11" x14ac:dyDescent="0.25">
      <c r="F115" s="2" t="s">
        <v>0</v>
      </c>
      <c r="G115" s="6">
        <v>46253</v>
      </c>
      <c r="H115" s="2" t="s">
        <v>2</v>
      </c>
      <c r="I115" s="1" t="s">
        <v>22</v>
      </c>
      <c r="J115" s="2" t="s">
        <v>11</v>
      </c>
      <c r="K115" s="1" t="s">
        <v>14</v>
      </c>
    </row>
    <row r="116" spans="6:11" x14ac:dyDescent="0.25">
      <c r="F116" s="32" t="s">
        <v>937</v>
      </c>
      <c r="G116" s="32"/>
      <c r="H116" s="32"/>
      <c r="I116" s="32"/>
      <c r="J116" s="32"/>
      <c r="K116" s="32"/>
    </row>
    <row r="117" spans="6:11" x14ac:dyDescent="0.25">
      <c r="F117" s="32"/>
      <c r="G117" s="32"/>
      <c r="H117" s="32"/>
      <c r="I117" s="32"/>
      <c r="J117" s="32"/>
      <c r="K117" s="32"/>
    </row>
    <row r="118" spans="6:11" x14ac:dyDescent="0.25">
      <c r="F118" s="32"/>
      <c r="G118" s="32"/>
      <c r="H118" s="32"/>
      <c r="I118" s="32"/>
      <c r="J118" s="32"/>
      <c r="K118" s="32"/>
    </row>
    <row r="119" spans="6:11" x14ac:dyDescent="0.25">
      <c r="F119" s="2" t="s">
        <v>0</v>
      </c>
      <c r="G119" s="6">
        <v>46256</v>
      </c>
      <c r="H119" s="2" t="s">
        <v>2</v>
      </c>
      <c r="I119" s="1" t="s">
        <v>47</v>
      </c>
      <c r="J119" s="2" t="s">
        <v>11</v>
      </c>
      <c r="K119" s="1" t="s">
        <v>14</v>
      </c>
    </row>
    <row r="120" spans="6:11" ht="14.45" customHeight="1" x14ac:dyDescent="0.25">
      <c r="F120" s="32" t="s">
        <v>965</v>
      </c>
      <c r="G120" s="32"/>
      <c r="H120" s="32"/>
      <c r="I120" s="32"/>
      <c r="J120" s="32"/>
      <c r="K120" s="32"/>
    </row>
    <row r="121" spans="6:11" x14ac:dyDescent="0.25">
      <c r="F121" s="32"/>
      <c r="G121" s="32"/>
      <c r="H121" s="32"/>
      <c r="I121" s="32"/>
      <c r="J121" s="32"/>
      <c r="K121" s="32"/>
    </row>
    <row r="122" spans="6:11" x14ac:dyDescent="0.25">
      <c r="F122" s="32"/>
      <c r="G122" s="32"/>
      <c r="H122" s="32"/>
      <c r="I122" s="32"/>
      <c r="J122" s="32"/>
      <c r="K122" s="32"/>
    </row>
    <row r="123" spans="6:11" x14ac:dyDescent="0.25">
      <c r="F123" s="32"/>
      <c r="G123" s="32"/>
      <c r="H123" s="32"/>
      <c r="I123" s="32"/>
      <c r="J123" s="32"/>
      <c r="K123" s="32"/>
    </row>
    <row r="124" spans="6:11" x14ac:dyDescent="0.25">
      <c r="F124" s="32"/>
      <c r="G124" s="32"/>
      <c r="H124" s="32"/>
      <c r="I124" s="32"/>
      <c r="J124" s="32"/>
      <c r="K124" s="32"/>
    </row>
    <row r="125" spans="6:11" x14ac:dyDescent="0.25">
      <c r="F125" s="2" t="s">
        <v>0</v>
      </c>
      <c r="G125" s="6">
        <v>46257</v>
      </c>
      <c r="H125" s="2" t="s">
        <v>2</v>
      </c>
      <c r="I125" s="1" t="s">
        <v>35</v>
      </c>
      <c r="J125" s="2" t="s">
        <v>11</v>
      </c>
      <c r="K125" s="1" t="s">
        <v>14</v>
      </c>
    </row>
    <row r="126" spans="6:11" ht="14.45" customHeight="1" x14ac:dyDescent="0.25">
      <c r="F126" s="32" t="s">
        <v>971</v>
      </c>
      <c r="G126" s="32"/>
      <c r="H126" s="32"/>
      <c r="I126" s="32"/>
      <c r="J126" s="32"/>
      <c r="K126" s="32"/>
    </row>
    <row r="127" spans="6:11" x14ac:dyDescent="0.25">
      <c r="F127" s="32"/>
      <c r="G127" s="32"/>
      <c r="H127" s="32"/>
      <c r="I127" s="32"/>
      <c r="J127" s="32"/>
      <c r="K127" s="32"/>
    </row>
    <row r="128" spans="6:11" x14ac:dyDescent="0.25">
      <c r="F128" s="32"/>
      <c r="G128" s="32"/>
      <c r="H128" s="32"/>
      <c r="I128" s="32"/>
      <c r="J128" s="32"/>
      <c r="K128" s="32"/>
    </row>
    <row r="129" spans="6:11" x14ac:dyDescent="0.25">
      <c r="F129" s="32"/>
      <c r="G129" s="32"/>
      <c r="H129" s="32"/>
      <c r="I129" s="32"/>
      <c r="J129" s="32"/>
      <c r="K129" s="32"/>
    </row>
    <row r="130" spans="6:11" x14ac:dyDescent="0.25">
      <c r="F130" s="32"/>
      <c r="G130" s="32"/>
      <c r="H130" s="32"/>
      <c r="I130" s="32"/>
      <c r="J130" s="32"/>
      <c r="K130" s="32"/>
    </row>
    <row r="131" spans="6:11" x14ac:dyDescent="0.25">
      <c r="F131" s="32"/>
      <c r="G131" s="32"/>
      <c r="H131" s="32"/>
      <c r="I131" s="32"/>
      <c r="J131" s="32"/>
      <c r="K131" s="32"/>
    </row>
    <row r="132" spans="6:11" x14ac:dyDescent="0.25">
      <c r="F132" s="2" t="s">
        <v>0</v>
      </c>
      <c r="G132" s="6">
        <v>46258</v>
      </c>
      <c r="H132" s="2" t="s">
        <v>2</v>
      </c>
      <c r="I132" s="1" t="s">
        <v>16</v>
      </c>
      <c r="J132" s="2" t="s">
        <v>11</v>
      </c>
      <c r="K132" s="1" t="s">
        <v>14</v>
      </c>
    </row>
    <row r="133" spans="6:11" x14ac:dyDescent="0.25">
      <c r="F133" s="32" t="s">
        <v>980</v>
      </c>
      <c r="G133" s="32"/>
      <c r="H133" s="32"/>
      <c r="I133" s="32"/>
      <c r="J133" s="32"/>
      <c r="K133" s="32"/>
    </row>
    <row r="134" spans="6:11" x14ac:dyDescent="0.25">
      <c r="F134" s="32"/>
      <c r="G134" s="32"/>
      <c r="H134" s="32"/>
      <c r="I134" s="32"/>
      <c r="J134" s="32"/>
      <c r="K134" s="32"/>
    </row>
    <row r="135" spans="6:11" x14ac:dyDescent="0.25">
      <c r="F135" s="32"/>
      <c r="G135" s="32"/>
      <c r="H135" s="32"/>
      <c r="I135" s="32"/>
      <c r="J135" s="32"/>
      <c r="K135" s="32"/>
    </row>
    <row r="136" spans="6:11" x14ac:dyDescent="0.25">
      <c r="F136" s="2" t="s">
        <v>0</v>
      </c>
      <c r="G136" s="6">
        <v>46259</v>
      </c>
      <c r="H136" s="2" t="s">
        <v>2</v>
      </c>
      <c r="I136" s="1" t="s">
        <v>22</v>
      </c>
      <c r="J136" s="2" t="s">
        <v>11</v>
      </c>
      <c r="K136" s="1" t="s">
        <v>14</v>
      </c>
    </row>
    <row r="137" spans="6:11" x14ac:dyDescent="0.25">
      <c r="F137" s="32" t="s">
        <v>990</v>
      </c>
      <c r="G137" s="32"/>
      <c r="H137" s="32"/>
      <c r="I137" s="32"/>
      <c r="J137" s="32"/>
      <c r="K137" s="32"/>
    </row>
    <row r="138" spans="6:11" x14ac:dyDescent="0.25">
      <c r="F138" s="32"/>
      <c r="G138" s="32"/>
      <c r="H138" s="32"/>
      <c r="I138" s="32"/>
      <c r="J138" s="32"/>
      <c r="K138" s="32"/>
    </row>
    <row r="139" spans="6:11" x14ac:dyDescent="0.25">
      <c r="F139" s="32"/>
      <c r="G139" s="32"/>
      <c r="H139" s="32"/>
      <c r="I139" s="32"/>
      <c r="J139" s="32"/>
      <c r="K139" s="32"/>
    </row>
    <row r="140" spans="6:11" x14ac:dyDescent="0.25">
      <c r="F140" s="2" t="s">
        <v>0</v>
      </c>
      <c r="G140" s="6">
        <v>46266</v>
      </c>
      <c r="H140" s="2" t="s">
        <v>2</v>
      </c>
      <c r="I140" s="1" t="s">
        <v>22</v>
      </c>
      <c r="J140" s="2" t="s">
        <v>11</v>
      </c>
      <c r="K140" s="1" t="s">
        <v>14</v>
      </c>
    </row>
    <row r="141" spans="6:11" ht="14.45" customHeight="1" x14ac:dyDescent="0.25">
      <c r="F141" s="32" t="s">
        <v>1050</v>
      </c>
      <c r="G141" s="32"/>
      <c r="H141" s="32"/>
      <c r="I141" s="32"/>
      <c r="J141" s="32"/>
      <c r="K141" s="32"/>
    </row>
    <row r="142" spans="6:11" x14ac:dyDescent="0.25">
      <c r="F142" s="32"/>
      <c r="G142" s="32"/>
      <c r="H142" s="32"/>
      <c r="I142" s="32"/>
      <c r="J142" s="32"/>
      <c r="K142" s="32"/>
    </row>
    <row r="143" spans="6:11" x14ac:dyDescent="0.25">
      <c r="F143" s="32"/>
      <c r="G143" s="32"/>
      <c r="H143" s="32"/>
      <c r="I143" s="32"/>
      <c r="J143" s="32"/>
      <c r="K143" s="32"/>
    </row>
    <row r="144" spans="6:11" x14ac:dyDescent="0.25">
      <c r="F144" s="32"/>
      <c r="G144" s="32"/>
      <c r="H144" s="32"/>
      <c r="I144" s="32"/>
      <c r="J144" s="32"/>
      <c r="K144" s="32"/>
    </row>
    <row r="145" spans="6:11" x14ac:dyDescent="0.25">
      <c r="F145" s="32"/>
      <c r="G145" s="32"/>
      <c r="H145" s="32"/>
      <c r="I145" s="32"/>
      <c r="J145" s="32"/>
      <c r="K145" s="32"/>
    </row>
    <row r="146" spans="6:11" x14ac:dyDescent="0.25">
      <c r="F146" s="32"/>
      <c r="G146" s="32"/>
      <c r="H146" s="32"/>
      <c r="I146" s="32"/>
      <c r="J146" s="32"/>
      <c r="K146" s="32"/>
    </row>
    <row r="147" spans="6:11" x14ac:dyDescent="0.25">
      <c r="F147" s="2" t="s">
        <v>0</v>
      </c>
      <c r="G147" s="6">
        <v>46267</v>
      </c>
      <c r="H147" s="2" t="s">
        <v>2</v>
      </c>
      <c r="I147" s="1" t="s">
        <v>22</v>
      </c>
      <c r="J147" s="2" t="s">
        <v>11</v>
      </c>
      <c r="K147" s="1" t="s">
        <v>14</v>
      </c>
    </row>
    <row r="148" spans="6:11" x14ac:dyDescent="0.25">
      <c r="F148" s="45" t="s">
        <v>637</v>
      </c>
      <c r="G148" s="45"/>
      <c r="H148" s="45"/>
      <c r="I148" s="45"/>
      <c r="J148" s="45"/>
      <c r="K148" s="45"/>
    </row>
    <row r="149" spans="6:11" x14ac:dyDescent="0.25">
      <c r="F149" s="2" t="s">
        <v>0</v>
      </c>
      <c r="G149" s="6">
        <v>46268</v>
      </c>
      <c r="H149" s="2" t="s">
        <v>2</v>
      </c>
      <c r="I149" s="1" t="s">
        <v>47</v>
      </c>
      <c r="J149" s="2" t="s">
        <v>11</v>
      </c>
      <c r="K149" s="1" t="s">
        <v>14</v>
      </c>
    </row>
    <row r="150" spans="6:11" x14ac:dyDescent="0.25">
      <c r="F150" s="32" t="s">
        <v>1071</v>
      </c>
      <c r="G150" s="32"/>
      <c r="H150" s="32"/>
      <c r="I150" s="32"/>
      <c r="J150" s="32"/>
      <c r="K150" s="32"/>
    </row>
    <row r="151" spans="6:11" x14ac:dyDescent="0.25">
      <c r="F151" s="32"/>
      <c r="G151" s="32"/>
      <c r="H151" s="32"/>
      <c r="I151" s="32"/>
      <c r="J151" s="32"/>
      <c r="K151" s="32"/>
    </row>
    <row r="152" spans="6:11" x14ac:dyDescent="0.25">
      <c r="F152" s="32"/>
      <c r="G152" s="32"/>
      <c r="H152" s="32"/>
      <c r="I152" s="32"/>
      <c r="J152" s="32"/>
      <c r="K152" s="32"/>
    </row>
    <row r="153" spans="6:11" x14ac:dyDescent="0.25">
      <c r="F153" s="32"/>
      <c r="G153" s="32"/>
      <c r="H153" s="32"/>
      <c r="I153" s="32"/>
      <c r="J153" s="32"/>
      <c r="K153" s="32"/>
    </row>
    <row r="154" spans="6:11" x14ac:dyDescent="0.25">
      <c r="F154" s="32"/>
      <c r="G154" s="32"/>
      <c r="H154" s="32"/>
      <c r="I154" s="32"/>
      <c r="J154" s="32"/>
      <c r="K154" s="32"/>
    </row>
    <row r="155" spans="6:11" x14ac:dyDescent="0.25">
      <c r="F155" s="32"/>
      <c r="G155" s="32"/>
      <c r="H155" s="32"/>
      <c r="I155" s="32"/>
      <c r="J155" s="32"/>
      <c r="K155" s="32"/>
    </row>
    <row r="156" spans="6:11" x14ac:dyDescent="0.25">
      <c r="F156" s="2" t="s">
        <v>0</v>
      </c>
      <c r="G156" s="6">
        <v>46276</v>
      </c>
      <c r="H156" s="2" t="s">
        <v>2</v>
      </c>
      <c r="I156" s="1" t="s">
        <v>22</v>
      </c>
      <c r="J156" s="2" t="s">
        <v>11</v>
      </c>
      <c r="K156" s="1" t="s">
        <v>14</v>
      </c>
    </row>
    <row r="157" spans="6:11" x14ac:dyDescent="0.25">
      <c r="F157" s="32" t="s">
        <v>1129</v>
      </c>
      <c r="G157" s="32"/>
      <c r="H157" s="32"/>
      <c r="I157" s="32"/>
      <c r="J157" s="32"/>
      <c r="K157" s="32"/>
    </row>
    <row r="158" spans="6:11" x14ac:dyDescent="0.25">
      <c r="F158" s="32"/>
      <c r="G158" s="32"/>
      <c r="H158" s="32"/>
      <c r="I158" s="32"/>
      <c r="J158" s="32"/>
      <c r="K158" s="32"/>
    </row>
    <row r="159" spans="6:11" x14ac:dyDescent="0.25">
      <c r="F159" s="32"/>
      <c r="G159" s="32"/>
      <c r="H159" s="32"/>
      <c r="I159" s="32"/>
      <c r="J159" s="32"/>
      <c r="K159" s="32"/>
    </row>
    <row r="160" spans="6:11" x14ac:dyDescent="0.25">
      <c r="F160" s="32"/>
      <c r="G160" s="32"/>
      <c r="H160" s="32"/>
      <c r="I160" s="32"/>
      <c r="J160" s="32"/>
      <c r="K160" s="32"/>
    </row>
    <row r="161" spans="6:11" x14ac:dyDescent="0.25">
      <c r="F161" s="32"/>
      <c r="G161" s="32"/>
      <c r="H161" s="32"/>
      <c r="I161" s="32"/>
      <c r="J161" s="32"/>
      <c r="K161" s="32"/>
    </row>
    <row r="162" spans="6:11" x14ac:dyDescent="0.25">
      <c r="F162" s="32"/>
      <c r="G162" s="32"/>
      <c r="H162" s="32"/>
      <c r="I162" s="32"/>
      <c r="J162" s="32"/>
      <c r="K162" s="32"/>
    </row>
    <row r="163" spans="6:11" x14ac:dyDescent="0.25">
      <c r="F163" s="2" t="s">
        <v>0</v>
      </c>
      <c r="G163" s="6">
        <v>46277</v>
      </c>
      <c r="H163" s="2" t="s">
        <v>2</v>
      </c>
      <c r="I163" s="1" t="s">
        <v>47</v>
      </c>
      <c r="J163" s="2" t="s">
        <v>11</v>
      </c>
      <c r="K163" s="1" t="s">
        <v>14</v>
      </c>
    </row>
    <row r="164" spans="6:11" ht="14.45" customHeight="1" x14ac:dyDescent="0.25">
      <c r="F164" s="37" t="s">
        <v>1144</v>
      </c>
      <c r="G164" s="37"/>
      <c r="H164" s="37"/>
      <c r="I164" s="37"/>
      <c r="J164" s="37"/>
      <c r="K164" s="37"/>
    </row>
    <row r="165" spans="6:11" x14ac:dyDescent="0.25">
      <c r="F165" s="37"/>
      <c r="G165" s="37"/>
      <c r="H165" s="37"/>
      <c r="I165" s="37"/>
      <c r="J165" s="37"/>
      <c r="K165" s="37"/>
    </row>
    <row r="166" spans="6:11" x14ac:dyDescent="0.25">
      <c r="F166" s="37"/>
      <c r="G166" s="37"/>
      <c r="H166" s="37"/>
      <c r="I166" s="37"/>
      <c r="J166" s="37"/>
      <c r="K166" s="37"/>
    </row>
    <row r="167" spans="6:11" x14ac:dyDescent="0.25">
      <c r="F167" s="37"/>
      <c r="G167" s="37"/>
      <c r="H167" s="37"/>
      <c r="I167" s="37"/>
      <c r="J167" s="37"/>
      <c r="K167" s="37"/>
    </row>
    <row r="168" spans="6:11" x14ac:dyDescent="0.25">
      <c r="F168" s="2" t="s">
        <v>0</v>
      </c>
      <c r="G168" s="6">
        <v>46280</v>
      </c>
      <c r="H168" s="2" t="s">
        <v>2</v>
      </c>
      <c r="I168" s="1" t="s">
        <v>436</v>
      </c>
      <c r="J168" s="2" t="s">
        <v>11</v>
      </c>
      <c r="K168" s="1" t="s">
        <v>14</v>
      </c>
    </row>
    <row r="169" spans="6:11" ht="14.45" customHeight="1" x14ac:dyDescent="0.25">
      <c r="F169" s="32" t="s">
        <v>1174</v>
      </c>
      <c r="G169" s="32"/>
      <c r="H169" s="32"/>
      <c r="I169" s="32"/>
      <c r="J169" s="32"/>
      <c r="K169" s="32"/>
    </row>
    <row r="170" spans="6:11" x14ac:dyDescent="0.25">
      <c r="F170" s="32"/>
      <c r="G170" s="32"/>
      <c r="H170" s="32"/>
      <c r="I170" s="32"/>
      <c r="J170" s="32"/>
      <c r="K170" s="32"/>
    </row>
    <row r="171" spans="6:11" x14ac:dyDescent="0.25">
      <c r="F171" s="32"/>
      <c r="G171" s="32"/>
      <c r="H171" s="32"/>
      <c r="I171" s="32"/>
      <c r="J171" s="32"/>
      <c r="K171" s="32"/>
    </row>
    <row r="172" spans="6:11" x14ac:dyDescent="0.25">
      <c r="F172" s="32"/>
      <c r="G172" s="32"/>
      <c r="H172" s="32"/>
      <c r="I172" s="32"/>
      <c r="J172" s="32"/>
      <c r="K172" s="32"/>
    </row>
    <row r="173" spans="6:11" x14ac:dyDescent="0.25">
      <c r="F173" s="32"/>
      <c r="G173" s="32"/>
      <c r="H173" s="32"/>
      <c r="I173" s="32"/>
      <c r="J173" s="32"/>
      <c r="K173" s="32"/>
    </row>
    <row r="174" spans="6:11" x14ac:dyDescent="0.25">
      <c r="F174" s="32"/>
      <c r="G174" s="32"/>
      <c r="H174" s="32"/>
      <c r="I174" s="32"/>
      <c r="J174" s="32"/>
      <c r="K174" s="32"/>
    </row>
    <row r="175" spans="6:11" x14ac:dyDescent="0.25">
      <c r="F175" s="2" t="s">
        <v>0</v>
      </c>
      <c r="G175" s="6">
        <v>46282</v>
      </c>
      <c r="H175" s="2" t="s">
        <v>2</v>
      </c>
      <c r="I175" s="1" t="s">
        <v>22</v>
      </c>
      <c r="J175" s="2" t="s">
        <v>11</v>
      </c>
      <c r="K175" s="1" t="s">
        <v>1185</v>
      </c>
    </row>
    <row r="176" spans="6:11" x14ac:dyDescent="0.25">
      <c r="F176" s="32" t="s">
        <v>1186</v>
      </c>
      <c r="G176" s="32"/>
      <c r="H176" s="32"/>
      <c r="I176" s="32"/>
      <c r="J176" s="32"/>
      <c r="K176" s="32"/>
    </row>
    <row r="177" spans="6:11" x14ac:dyDescent="0.25">
      <c r="F177" s="32"/>
      <c r="G177" s="32"/>
      <c r="H177" s="32"/>
      <c r="I177" s="32"/>
      <c r="J177" s="32"/>
      <c r="K177" s="32"/>
    </row>
    <row r="178" spans="6:11" x14ac:dyDescent="0.25">
      <c r="F178" s="32"/>
      <c r="G178" s="32"/>
      <c r="H178" s="32"/>
      <c r="I178" s="32"/>
      <c r="J178" s="32"/>
      <c r="K178" s="32"/>
    </row>
    <row r="179" spans="6:11" x14ac:dyDescent="0.25">
      <c r="F179" s="2" t="s">
        <v>0</v>
      </c>
      <c r="G179" s="6">
        <v>46287</v>
      </c>
      <c r="H179" s="2" t="s">
        <v>2</v>
      </c>
      <c r="I179" s="1" t="s">
        <v>47</v>
      </c>
      <c r="J179" s="2" t="s">
        <v>11</v>
      </c>
      <c r="K179" s="1" t="s">
        <v>14</v>
      </c>
    </row>
    <row r="180" spans="6:11" x14ac:dyDescent="0.25">
      <c r="F180" s="32" t="s">
        <v>1237</v>
      </c>
      <c r="G180" s="32"/>
      <c r="H180" s="32"/>
      <c r="I180" s="32"/>
      <c r="J180" s="32"/>
      <c r="K180" s="32"/>
    </row>
    <row r="181" spans="6:11" x14ac:dyDescent="0.25">
      <c r="F181" s="32"/>
      <c r="G181" s="32"/>
      <c r="H181" s="32"/>
      <c r="I181" s="32"/>
      <c r="J181" s="32"/>
      <c r="K181" s="32"/>
    </row>
    <row r="182" spans="6:11" x14ac:dyDescent="0.25">
      <c r="F182" s="32"/>
      <c r="G182" s="32"/>
      <c r="H182" s="32"/>
      <c r="I182" s="32"/>
      <c r="J182" s="32"/>
      <c r="K182" s="32"/>
    </row>
  </sheetData>
  <mergeCells count="40">
    <mergeCell ref="F16:K18"/>
    <mergeCell ref="F20:K23"/>
    <mergeCell ref="F57:K59"/>
    <mergeCell ref="F53:K55"/>
    <mergeCell ref="F73:K76"/>
    <mergeCell ref="W1:X1"/>
    <mergeCell ref="M1:R1"/>
    <mergeCell ref="F11:K14"/>
    <mergeCell ref="F7:K9"/>
    <mergeCell ref="T1:U1"/>
    <mergeCell ref="F3:K5"/>
    <mergeCell ref="F1:K1"/>
    <mergeCell ref="F133:K135"/>
    <mergeCell ref="F169:K174"/>
    <mergeCell ref="F49:K51"/>
    <mergeCell ref="F29:K32"/>
    <mergeCell ref="F25:K27"/>
    <mergeCell ref="F34:K37"/>
    <mergeCell ref="F39:K42"/>
    <mergeCell ref="F44:K47"/>
    <mergeCell ref="F157:K162"/>
    <mergeCell ref="F164:K167"/>
    <mergeCell ref="F150:K155"/>
    <mergeCell ref="F148:K148"/>
    <mergeCell ref="F120:K124"/>
    <mergeCell ref="F126:K131"/>
    <mergeCell ref="F68:K71"/>
    <mergeCell ref="F61:K66"/>
    <mergeCell ref="F180:K182"/>
    <mergeCell ref="F78:K81"/>
    <mergeCell ref="F116:K118"/>
    <mergeCell ref="F110:K114"/>
    <mergeCell ref="F89:K95"/>
    <mergeCell ref="F176:K178"/>
    <mergeCell ref="F102:K104"/>
    <mergeCell ref="F97:K100"/>
    <mergeCell ref="F83:K87"/>
    <mergeCell ref="F106:K108"/>
    <mergeCell ref="F141:K146"/>
    <mergeCell ref="F137:K13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79658-1452-4CE0-B339-76DF20536823}">
  <dimension ref="A1:V17"/>
  <sheetViews>
    <sheetView workbookViewId="0">
      <selection activeCell="B10" sqref="B10"/>
    </sheetView>
  </sheetViews>
  <sheetFormatPr baseColWidth="10" defaultRowHeight="15" x14ac:dyDescent="0.25"/>
  <cols>
    <col min="1" max="1" width="10.28515625" style="7" bestFit="1" customWidth="1"/>
    <col min="2" max="2" width="36.140625" style="7" bestFit="1" customWidth="1"/>
    <col min="3" max="3" width="9.42578125" style="7" bestFit="1" customWidth="1"/>
    <col min="4" max="4" width="24.42578125" style="7" bestFit="1" customWidth="1"/>
    <col min="18" max="18" width="21.28515625" bestFit="1" customWidth="1"/>
    <col min="19" max="19" width="17.285156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5"/>
      <c r="K1" s="5"/>
      <c r="M1" s="34" t="s">
        <v>5</v>
      </c>
      <c r="N1" s="38"/>
      <c r="O1" s="38"/>
      <c r="P1" s="35"/>
      <c r="R1" s="34" t="s">
        <v>7</v>
      </c>
      <c r="S1" s="35"/>
      <c r="U1" s="33" t="s">
        <v>87</v>
      </c>
      <c r="V1" s="33"/>
    </row>
    <row r="2" spans="1:22" x14ac:dyDescent="0.25">
      <c r="A2" s="6">
        <v>46195</v>
      </c>
      <c r="B2" s="7" t="s">
        <v>30</v>
      </c>
      <c r="C2" s="7" t="s">
        <v>31</v>
      </c>
      <c r="D2" s="7" t="s">
        <v>32</v>
      </c>
      <c r="F2" s="2" t="s">
        <v>0</v>
      </c>
      <c r="G2" s="4">
        <v>46196</v>
      </c>
      <c r="H2" s="2" t="s">
        <v>2</v>
      </c>
      <c r="I2" s="1" t="s">
        <v>47</v>
      </c>
      <c r="J2" s="2" t="s">
        <v>11</v>
      </c>
      <c r="K2" s="1" t="s">
        <v>14</v>
      </c>
      <c r="M2" s="2" t="s">
        <v>0</v>
      </c>
      <c r="N2" s="1"/>
      <c r="O2" s="2" t="s">
        <v>6</v>
      </c>
      <c r="P2" s="1"/>
      <c r="R2" s="2" t="s">
        <v>11</v>
      </c>
      <c r="S2" s="8" t="s">
        <v>225</v>
      </c>
      <c r="U2" s="3" t="s">
        <v>0</v>
      </c>
      <c r="V2" s="3" t="s">
        <v>88</v>
      </c>
    </row>
    <row r="3" spans="1:22" x14ac:dyDescent="0.25">
      <c r="A3" s="6">
        <v>46211</v>
      </c>
      <c r="B3" s="7" t="s">
        <v>30</v>
      </c>
      <c r="C3" s="7" t="s">
        <v>31</v>
      </c>
      <c r="D3" s="7" t="s">
        <v>478</v>
      </c>
      <c r="F3" s="32" t="s">
        <v>59</v>
      </c>
      <c r="G3" s="32"/>
      <c r="H3" s="32"/>
      <c r="I3" s="32"/>
      <c r="J3" s="32"/>
      <c r="K3" s="32"/>
      <c r="R3" s="2" t="s">
        <v>76</v>
      </c>
      <c r="S3" s="8" t="s">
        <v>226</v>
      </c>
    </row>
    <row r="4" spans="1:22" x14ac:dyDescent="0.25">
      <c r="A4" s="6">
        <v>46224</v>
      </c>
      <c r="B4" s="7" t="s">
        <v>30</v>
      </c>
      <c r="C4" s="7" t="s">
        <v>31</v>
      </c>
      <c r="D4" s="7" t="s">
        <v>538</v>
      </c>
      <c r="F4" s="32"/>
      <c r="G4" s="32"/>
      <c r="H4" s="32"/>
      <c r="I4" s="32"/>
      <c r="J4" s="32"/>
      <c r="K4" s="32"/>
      <c r="R4" s="2" t="s">
        <v>77</v>
      </c>
      <c r="S4" s="8"/>
    </row>
    <row r="5" spans="1:22" x14ac:dyDescent="0.25">
      <c r="A5" s="6">
        <v>46265</v>
      </c>
      <c r="B5" s="7" t="s">
        <v>343</v>
      </c>
      <c r="C5" s="7" t="s">
        <v>344</v>
      </c>
      <c r="D5" s="7" t="s">
        <v>1029</v>
      </c>
      <c r="F5" s="32"/>
      <c r="G5" s="32"/>
      <c r="H5" s="32"/>
      <c r="I5" s="32"/>
      <c r="J5" s="32"/>
      <c r="K5" s="32"/>
      <c r="R5" s="2" t="s">
        <v>78</v>
      </c>
      <c r="S5" s="8" t="s">
        <v>101</v>
      </c>
    </row>
    <row r="6" spans="1:22" x14ac:dyDescent="0.25">
      <c r="A6" s="30">
        <v>46274</v>
      </c>
      <c r="B6" s="31" t="s">
        <v>1076</v>
      </c>
      <c r="C6" s="31" t="s">
        <v>31</v>
      </c>
      <c r="D6" s="31" t="s">
        <v>1112</v>
      </c>
      <c r="F6" s="2" t="s">
        <v>0</v>
      </c>
      <c r="G6" s="4">
        <v>46208</v>
      </c>
      <c r="H6" s="2" t="s">
        <v>2</v>
      </c>
      <c r="I6" s="1" t="s">
        <v>47</v>
      </c>
      <c r="J6" s="2" t="s">
        <v>11</v>
      </c>
      <c r="K6" s="1" t="s">
        <v>14</v>
      </c>
      <c r="R6" s="2" t="s">
        <v>92</v>
      </c>
      <c r="S6" s="8" t="s">
        <v>227</v>
      </c>
    </row>
    <row r="7" spans="1:22" x14ac:dyDescent="0.25">
      <c r="A7" s="30">
        <v>46283</v>
      </c>
      <c r="B7" s="7" t="s">
        <v>1207</v>
      </c>
      <c r="C7" s="7" t="s">
        <v>47</v>
      </c>
      <c r="D7" s="7" t="s">
        <v>56</v>
      </c>
      <c r="F7" s="32" t="s">
        <v>428</v>
      </c>
      <c r="G7" s="32"/>
      <c r="H7" s="32"/>
      <c r="I7" s="32"/>
      <c r="J7" s="32"/>
      <c r="K7" s="32"/>
      <c r="R7" s="2" t="s">
        <v>80</v>
      </c>
      <c r="S7" s="8" t="s">
        <v>123</v>
      </c>
    </row>
    <row r="8" spans="1:22" x14ac:dyDescent="0.25">
      <c r="F8" s="32"/>
      <c r="G8" s="32"/>
      <c r="H8" s="32"/>
      <c r="I8" s="32"/>
      <c r="J8" s="32"/>
      <c r="K8" s="32"/>
      <c r="R8" s="2" t="s">
        <v>81</v>
      </c>
      <c r="S8" s="8"/>
    </row>
    <row r="9" spans="1:22" x14ac:dyDescent="0.25">
      <c r="F9" s="32"/>
      <c r="G9" s="32"/>
      <c r="H9" s="32"/>
      <c r="I9" s="32"/>
      <c r="J9" s="32"/>
      <c r="K9" s="32"/>
      <c r="R9" s="2" t="s">
        <v>82</v>
      </c>
      <c r="S9" s="8">
        <f>S10+S11</f>
        <v>0.1147</v>
      </c>
    </row>
    <row r="10" spans="1:22" x14ac:dyDescent="0.25">
      <c r="F10" s="2" t="s">
        <v>0</v>
      </c>
      <c r="G10" s="4">
        <v>46238</v>
      </c>
      <c r="H10" s="2" t="s">
        <v>2</v>
      </c>
      <c r="I10" s="1" t="s">
        <v>47</v>
      </c>
      <c r="J10" s="2" t="s">
        <v>11</v>
      </c>
      <c r="K10" s="1" t="s">
        <v>14</v>
      </c>
      <c r="R10" s="2" t="s">
        <v>83</v>
      </c>
      <c r="S10" s="10">
        <v>0.1147</v>
      </c>
    </row>
    <row r="11" spans="1:22" x14ac:dyDescent="0.25">
      <c r="F11" s="32" t="s">
        <v>758</v>
      </c>
      <c r="G11" s="32"/>
      <c r="H11" s="32"/>
      <c r="I11" s="32"/>
      <c r="J11" s="32"/>
      <c r="K11" s="32"/>
      <c r="R11" s="2" t="s">
        <v>84</v>
      </c>
      <c r="S11" s="10">
        <v>0</v>
      </c>
    </row>
    <row r="12" spans="1:22" x14ac:dyDescent="0.25">
      <c r="F12" s="32"/>
      <c r="G12" s="32"/>
      <c r="H12" s="32"/>
      <c r="I12" s="32"/>
      <c r="J12" s="32"/>
      <c r="K12" s="32"/>
      <c r="R12" s="2" t="s">
        <v>115</v>
      </c>
      <c r="S12" s="8"/>
    </row>
    <row r="13" spans="1:22" x14ac:dyDescent="0.25">
      <c r="F13" s="32"/>
      <c r="G13" s="32"/>
      <c r="H13" s="32"/>
      <c r="I13" s="32"/>
      <c r="J13" s="32"/>
      <c r="K13" s="32"/>
      <c r="R13" s="2" t="s">
        <v>85</v>
      </c>
      <c r="S13" s="10">
        <f>S10</f>
        <v>0.1147</v>
      </c>
    </row>
    <row r="14" spans="1:22" x14ac:dyDescent="0.25">
      <c r="F14" s="2" t="s">
        <v>0</v>
      </c>
      <c r="G14" s="4">
        <v>46252</v>
      </c>
      <c r="H14" s="2" t="s">
        <v>2</v>
      </c>
      <c r="I14" s="1" t="s">
        <v>47</v>
      </c>
      <c r="J14" s="2" t="s">
        <v>11</v>
      </c>
      <c r="K14" s="1" t="s">
        <v>14</v>
      </c>
      <c r="R14" s="2" t="s">
        <v>86</v>
      </c>
      <c r="S14" s="10">
        <f>S13*12.032</f>
        <v>1.3800703999999999</v>
      </c>
    </row>
    <row r="15" spans="1:22" x14ac:dyDescent="0.25">
      <c r="F15" s="32" t="s">
        <v>1206</v>
      </c>
      <c r="G15" s="32"/>
      <c r="H15" s="32"/>
      <c r="I15" s="32"/>
      <c r="J15" s="32"/>
      <c r="K15" s="32"/>
    </row>
    <row r="16" spans="1:22" x14ac:dyDescent="0.25">
      <c r="F16" s="32"/>
      <c r="G16" s="32"/>
      <c r="H16" s="32"/>
      <c r="I16" s="32"/>
      <c r="J16" s="32"/>
      <c r="K16" s="32"/>
    </row>
    <row r="17" spans="6:11" x14ac:dyDescent="0.25">
      <c r="F17" s="32"/>
      <c r="G17" s="32"/>
      <c r="H17" s="32"/>
      <c r="I17" s="32"/>
      <c r="J17" s="32"/>
      <c r="K17" s="32"/>
    </row>
  </sheetData>
  <mergeCells count="8">
    <mergeCell ref="F15:K17"/>
    <mergeCell ref="F11:K13"/>
    <mergeCell ref="U1:V1"/>
    <mergeCell ref="F7:K9"/>
    <mergeCell ref="F1:I1"/>
    <mergeCell ref="M1:P1"/>
    <mergeCell ref="R1:S1"/>
    <mergeCell ref="F3:K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C5AE4-2E17-46BB-8A57-74186997B1B7}">
  <dimension ref="A1:V18"/>
  <sheetViews>
    <sheetView workbookViewId="0">
      <selection activeCell="A8" sqref="A8:D8"/>
    </sheetView>
  </sheetViews>
  <sheetFormatPr baseColWidth="10" defaultRowHeight="15" x14ac:dyDescent="0.25"/>
  <cols>
    <col min="1" max="1" width="11.5703125" style="31"/>
    <col min="2" max="2" width="14.7109375" style="31" bestFit="1" customWidth="1"/>
    <col min="3" max="3" width="11.5703125" style="31"/>
    <col min="4" max="4" width="24.42578125" style="31" bestFit="1" customWidth="1"/>
    <col min="18" max="18" width="21.28515625" bestFit="1" customWidth="1"/>
    <col min="19" max="19" width="17.28515625" bestFit="1" customWidth="1"/>
    <col min="21" max="21" width="11.5703125" style="7"/>
    <col min="22" max="22" width="15" style="7" bestFit="1" customWidth="1"/>
  </cols>
  <sheetData>
    <row r="1" spans="1:22" x14ac:dyDescent="0.25">
      <c r="A1" s="29" t="s">
        <v>0</v>
      </c>
      <c r="B1" s="29" t="s">
        <v>1</v>
      </c>
      <c r="C1" s="29" t="s">
        <v>2</v>
      </c>
      <c r="D1" s="29" t="s">
        <v>3</v>
      </c>
      <c r="F1" s="36" t="s">
        <v>4</v>
      </c>
      <c r="G1" s="36"/>
      <c r="H1" s="36"/>
      <c r="I1" s="36"/>
      <c r="J1" s="36"/>
      <c r="K1" s="36"/>
      <c r="M1" s="34" t="s">
        <v>5</v>
      </c>
      <c r="N1" s="38"/>
      <c r="O1" s="38"/>
      <c r="P1" s="35"/>
      <c r="R1" s="34" t="s">
        <v>7</v>
      </c>
      <c r="S1" s="35"/>
      <c r="U1" s="33" t="s">
        <v>87</v>
      </c>
      <c r="V1" s="33"/>
    </row>
    <row r="2" spans="1:22" x14ac:dyDescent="0.25">
      <c r="A2" s="30">
        <v>46195</v>
      </c>
      <c r="B2" s="31" t="s">
        <v>30</v>
      </c>
      <c r="C2" s="31" t="s">
        <v>31</v>
      </c>
      <c r="D2" s="31" t="s">
        <v>32</v>
      </c>
      <c r="F2" s="2" t="s">
        <v>0</v>
      </c>
      <c r="G2" s="4">
        <v>46216</v>
      </c>
      <c r="H2" s="2" t="s">
        <v>2</v>
      </c>
      <c r="I2" s="1" t="s">
        <v>350</v>
      </c>
      <c r="J2" s="2" t="s">
        <v>11</v>
      </c>
      <c r="K2" s="1" t="s">
        <v>14</v>
      </c>
      <c r="M2" s="2" t="s">
        <v>0</v>
      </c>
      <c r="N2" s="1"/>
      <c r="O2" s="2" t="s">
        <v>6</v>
      </c>
      <c r="P2" s="1"/>
      <c r="R2" s="2" t="s">
        <v>11</v>
      </c>
      <c r="S2" s="8" t="s">
        <v>228</v>
      </c>
      <c r="U2" s="3" t="s">
        <v>0</v>
      </c>
      <c r="V2" s="3" t="s">
        <v>88</v>
      </c>
    </row>
    <row r="3" spans="1:22" x14ac:dyDescent="0.25">
      <c r="A3" s="30">
        <v>46211</v>
      </c>
      <c r="B3" s="31" t="s">
        <v>30</v>
      </c>
      <c r="C3" s="31" t="s">
        <v>31</v>
      </c>
      <c r="D3" s="31" t="s">
        <v>478</v>
      </c>
      <c r="F3" s="32" t="s">
        <v>511</v>
      </c>
      <c r="G3" s="32"/>
      <c r="H3" s="32"/>
      <c r="I3" s="32"/>
      <c r="J3" s="32"/>
      <c r="K3" s="32"/>
      <c r="R3" s="2" t="s">
        <v>76</v>
      </c>
      <c r="S3" s="8" t="s">
        <v>230</v>
      </c>
    </row>
    <row r="4" spans="1:22" x14ac:dyDescent="0.25">
      <c r="A4" s="30">
        <v>46224</v>
      </c>
      <c r="B4" s="31" t="s">
        <v>30</v>
      </c>
      <c r="C4" s="31" t="s">
        <v>31</v>
      </c>
      <c r="D4" s="31" t="s">
        <v>538</v>
      </c>
      <c r="F4" s="32"/>
      <c r="G4" s="32"/>
      <c r="H4" s="32"/>
      <c r="I4" s="32"/>
      <c r="J4" s="32"/>
      <c r="K4" s="32"/>
      <c r="R4" s="2" t="s">
        <v>77</v>
      </c>
      <c r="S4" s="8"/>
    </row>
    <row r="5" spans="1:22" x14ac:dyDescent="0.25">
      <c r="A5" s="30">
        <v>46246</v>
      </c>
      <c r="B5" s="31" t="s">
        <v>30</v>
      </c>
      <c r="C5" s="31" t="s">
        <v>63</v>
      </c>
      <c r="D5" s="31" t="s">
        <v>869</v>
      </c>
      <c r="F5" s="2" t="s">
        <v>0</v>
      </c>
      <c r="G5" s="4">
        <v>46257</v>
      </c>
      <c r="H5" s="2" t="s">
        <v>2</v>
      </c>
      <c r="I5" s="1" t="s">
        <v>35</v>
      </c>
      <c r="J5" s="2" t="s">
        <v>11</v>
      </c>
      <c r="K5" s="1" t="s">
        <v>14</v>
      </c>
      <c r="R5" s="2" t="s">
        <v>78</v>
      </c>
      <c r="S5" s="8" t="s">
        <v>101</v>
      </c>
    </row>
    <row r="6" spans="1:22" ht="14.45" customHeight="1" x14ac:dyDescent="0.25">
      <c r="A6" s="30">
        <v>46265</v>
      </c>
      <c r="B6" s="31" t="s">
        <v>343</v>
      </c>
      <c r="C6" s="31" t="s">
        <v>344</v>
      </c>
      <c r="D6" s="31" t="s">
        <v>1029</v>
      </c>
      <c r="F6" s="32" t="s">
        <v>966</v>
      </c>
      <c r="G6" s="32"/>
      <c r="H6" s="32"/>
      <c r="I6" s="32"/>
      <c r="J6" s="32"/>
      <c r="K6" s="32"/>
      <c r="R6" s="2" t="s">
        <v>92</v>
      </c>
      <c r="S6" s="8" t="s">
        <v>227</v>
      </c>
    </row>
    <row r="7" spans="1:22" x14ac:dyDescent="0.25">
      <c r="A7" s="30">
        <v>46269</v>
      </c>
      <c r="B7" s="31" t="s">
        <v>1082</v>
      </c>
      <c r="C7" s="31" t="s">
        <v>47</v>
      </c>
      <c r="D7" s="31" t="s">
        <v>45</v>
      </c>
      <c r="F7" s="32"/>
      <c r="G7" s="32"/>
      <c r="H7" s="32"/>
      <c r="I7" s="32"/>
      <c r="J7" s="32"/>
      <c r="K7" s="32"/>
      <c r="R7" s="2" t="s">
        <v>80</v>
      </c>
      <c r="S7" s="8" t="s">
        <v>229</v>
      </c>
    </row>
    <row r="8" spans="1:22" x14ac:dyDescent="0.25">
      <c r="A8" s="30">
        <v>46274</v>
      </c>
      <c r="B8" s="31" t="s">
        <v>1076</v>
      </c>
      <c r="C8" s="31" t="s">
        <v>31</v>
      </c>
      <c r="D8" s="31" t="s">
        <v>1112</v>
      </c>
      <c r="F8" s="32"/>
      <c r="G8" s="32"/>
      <c r="H8" s="32"/>
      <c r="I8" s="32"/>
      <c r="J8" s="32"/>
      <c r="K8" s="32"/>
      <c r="R8" s="2" t="s">
        <v>81</v>
      </c>
      <c r="S8" s="8"/>
    </row>
    <row r="9" spans="1:22" x14ac:dyDescent="0.25">
      <c r="F9" s="32"/>
      <c r="G9" s="32"/>
      <c r="H9" s="32"/>
      <c r="I9" s="32"/>
      <c r="J9" s="32"/>
      <c r="K9" s="32"/>
      <c r="R9" s="2" t="s">
        <v>82</v>
      </c>
      <c r="S9" s="8">
        <f>S10+S11</f>
        <v>0.1759</v>
      </c>
    </row>
    <row r="10" spans="1:22" x14ac:dyDescent="0.25">
      <c r="F10" s="2" t="s">
        <v>0</v>
      </c>
      <c r="G10" s="4">
        <v>46268</v>
      </c>
      <c r="H10" s="2" t="s">
        <v>2</v>
      </c>
      <c r="I10" s="1" t="s">
        <v>1066</v>
      </c>
      <c r="J10" s="2" t="s">
        <v>11</v>
      </c>
      <c r="K10" s="1" t="s">
        <v>14</v>
      </c>
      <c r="R10" s="2" t="s">
        <v>83</v>
      </c>
      <c r="S10" s="10">
        <v>0.1759</v>
      </c>
    </row>
    <row r="11" spans="1:22" x14ac:dyDescent="0.25">
      <c r="F11" s="32" t="s">
        <v>1067</v>
      </c>
      <c r="G11" s="32"/>
      <c r="H11" s="32"/>
      <c r="I11" s="32"/>
      <c r="J11" s="32"/>
      <c r="K11" s="32"/>
      <c r="R11" s="2" t="s">
        <v>84</v>
      </c>
      <c r="S11" s="10">
        <v>0</v>
      </c>
    </row>
    <row r="12" spans="1:22" x14ac:dyDescent="0.25">
      <c r="F12" s="32"/>
      <c r="G12" s="32"/>
      <c r="H12" s="32"/>
      <c r="I12" s="32"/>
      <c r="J12" s="32"/>
      <c r="K12" s="32"/>
      <c r="R12" s="2" t="s">
        <v>115</v>
      </c>
      <c r="S12" s="8"/>
    </row>
    <row r="13" spans="1:22" x14ac:dyDescent="0.25">
      <c r="F13" s="32"/>
      <c r="G13" s="32"/>
      <c r="H13" s="32"/>
      <c r="I13" s="32"/>
      <c r="J13" s="32"/>
      <c r="K13" s="32"/>
      <c r="R13" s="2" t="s">
        <v>85</v>
      </c>
      <c r="S13" s="10">
        <f>S10</f>
        <v>0.1759</v>
      </c>
    </row>
    <row r="14" spans="1:22" x14ac:dyDescent="0.25">
      <c r="F14" s="32"/>
      <c r="G14" s="32"/>
      <c r="H14" s="32"/>
      <c r="I14" s="32"/>
      <c r="J14" s="32"/>
      <c r="K14" s="32"/>
      <c r="R14" s="2" t="s">
        <v>86</v>
      </c>
      <c r="S14" s="10">
        <f>S13*12.032</f>
        <v>2.1164288</v>
      </c>
    </row>
    <row r="15" spans="1:22" x14ac:dyDescent="0.25">
      <c r="F15" s="2" t="s">
        <v>0</v>
      </c>
      <c r="G15" s="4">
        <v>46269</v>
      </c>
      <c r="H15" s="2" t="s">
        <v>2</v>
      </c>
      <c r="I15" s="1" t="s">
        <v>47</v>
      </c>
      <c r="J15" s="2" t="s">
        <v>11</v>
      </c>
      <c r="K15" s="1" t="s">
        <v>14</v>
      </c>
    </row>
    <row r="16" spans="1:22" ht="14.45" customHeight="1" x14ac:dyDescent="0.25">
      <c r="F16" s="32" t="s">
        <v>1083</v>
      </c>
      <c r="G16" s="32"/>
      <c r="H16" s="32"/>
      <c r="I16" s="32"/>
      <c r="J16" s="32"/>
      <c r="K16" s="32"/>
    </row>
    <row r="17" spans="6:11" x14ac:dyDescent="0.25">
      <c r="F17" s="32"/>
      <c r="G17" s="32"/>
      <c r="H17" s="32"/>
      <c r="I17" s="32"/>
      <c r="J17" s="32"/>
      <c r="K17" s="32"/>
    </row>
    <row r="18" spans="6:11" x14ac:dyDescent="0.25">
      <c r="F18" s="32"/>
      <c r="G18" s="32"/>
      <c r="H18" s="32"/>
      <c r="I18" s="32"/>
      <c r="J18" s="32"/>
      <c r="K18" s="32"/>
    </row>
  </sheetData>
  <mergeCells count="8">
    <mergeCell ref="R1:S1"/>
    <mergeCell ref="U1:V1"/>
    <mergeCell ref="F1:K1"/>
    <mergeCell ref="F11:K14"/>
    <mergeCell ref="F16:K18"/>
    <mergeCell ref="F6:K9"/>
    <mergeCell ref="F3:K4"/>
    <mergeCell ref="M1:P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42BA6-3FCD-4E40-874A-7C5D2157C0BC}">
  <dimension ref="A1:X69"/>
  <sheetViews>
    <sheetView topLeftCell="A37" workbookViewId="0">
      <selection activeCell="F65" sqref="F65:K69"/>
    </sheetView>
  </sheetViews>
  <sheetFormatPr baseColWidth="10" defaultRowHeight="15" x14ac:dyDescent="0.25"/>
  <cols>
    <col min="1" max="1" width="11.5703125" style="7"/>
    <col min="2" max="2" width="21.7109375" style="7" bestFit="1" customWidth="1"/>
    <col min="3" max="3" width="11.5703125" style="7"/>
    <col min="4" max="4" width="30.5703125" style="7" bestFit="1" customWidth="1"/>
    <col min="13" max="13" width="12.42578125" bestFit="1" customWidth="1"/>
    <col min="20" max="20" width="21.28515625" bestFit="1" customWidth="1"/>
    <col min="21" max="21" width="17.28515625" bestFit="1" customWidth="1"/>
    <col min="23" max="23" width="11.5703125" style="7"/>
    <col min="24" max="24" width="15" style="7" bestFit="1" customWidth="1"/>
  </cols>
  <sheetData>
    <row r="1" spans="1:24" x14ac:dyDescent="0.25">
      <c r="A1" s="3" t="s">
        <v>0</v>
      </c>
      <c r="B1" s="3" t="s">
        <v>1</v>
      </c>
      <c r="C1" s="3" t="s">
        <v>2</v>
      </c>
      <c r="D1" s="3" t="s">
        <v>3</v>
      </c>
      <c r="F1" s="36" t="s">
        <v>4</v>
      </c>
      <c r="G1" s="36"/>
      <c r="H1" s="36"/>
      <c r="I1" s="36"/>
      <c r="J1" s="36"/>
      <c r="K1" s="36"/>
      <c r="M1" s="36" t="s">
        <v>5</v>
      </c>
      <c r="N1" s="36"/>
      <c r="O1" s="36"/>
      <c r="P1" s="36"/>
      <c r="Q1" s="36"/>
      <c r="R1" s="36"/>
      <c r="T1" s="34" t="s">
        <v>7</v>
      </c>
      <c r="U1" s="35"/>
      <c r="W1" s="33" t="s">
        <v>87</v>
      </c>
      <c r="X1" s="33"/>
    </row>
    <row r="2" spans="1:24" ht="14.45" customHeight="1" x14ac:dyDescent="0.25">
      <c r="A2" s="6">
        <v>46198</v>
      </c>
      <c r="B2" s="7" t="s">
        <v>65</v>
      </c>
      <c r="C2" s="7" t="s">
        <v>9</v>
      </c>
      <c r="D2" s="7" t="s">
        <v>66</v>
      </c>
      <c r="F2" s="2" t="s">
        <v>0</v>
      </c>
      <c r="G2" s="4">
        <v>46198</v>
      </c>
      <c r="H2" s="2" t="s">
        <v>2</v>
      </c>
      <c r="I2" s="1" t="s">
        <v>22</v>
      </c>
      <c r="J2" s="2" t="s">
        <v>11</v>
      </c>
      <c r="K2" s="1" t="s">
        <v>14</v>
      </c>
      <c r="M2" s="16" t="s">
        <v>0</v>
      </c>
      <c r="N2" s="4">
        <v>46101</v>
      </c>
      <c r="O2" s="22" t="s">
        <v>6</v>
      </c>
      <c r="P2" s="18" t="s">
        <v>282</v>
      </c>
      <c r="Q2" s="11" t="s">
        <v>11</v>
      </c>
      <c r="R2" s="8" t="s">
        <v>14</v>
      </c>
      <c r="T2" s="2" t="s">
        <v>11</v>
      </c>
      <c r="U2" s="8" t="s">
        <v>231</v>
      </c>
      <c r="W2" s="3" t="s">
        <v>0</v>
      </c>
      <c r="X2" s="3" t="s">
        <v>88</v>
      </c>
    </row>
    <row r="3" spans="1:24" ht="14.45" customHeight="1" x14ac:dyDescent="0.25">
      <c r="A3" s="6">
        <v>46198</v>
      </c>
      <c r="B3" s="7" t="s">
        <v>8</v>
      </c>
      <c r="C3" s="7" t="s">
        <v>9</v>
      </c>
      <c r="D3" s="7" t="s">
        <v>10</v>
      </c>
      <c r="F3" s="37" t="s">
        <v>67</v>
      </c>
      <c r="G3" s="37"/>
      <c r="H3" s="37"/>
      <c r="I3" s="37"/>
      <c r="J3" s="37"/>
      <c r="K3" s="37"/>
      <c r="M3" s="15" t="s">
        <v>283</v>
      </c>
      <c r="N3" s="3" t="s">
        <v>315</v>
      </c>
      <c r="O3" s="5"/>
      <c r="T3" s="2" t="s">
        <v>76</v>
      </c>
      <c r="U3" s="8" t="s">
        <v>232</v>
      </c>
    </row>
    <row r="4" spans="1:24" x14ac:dyDescent="0.25">
      <c r="A4" s="6">
        <v>46210</v>
      </c>
      <c r="B4" s="7" t="s">
        <v>30</v>
      </c>
      <c r="C4" s="7" t="s">
        <v>31</v>
      </c>
      <c r="D4" s="7" t="s">
        <v>482</v>
      </c>
      <c r="F4" s="37"/>
      <c r="G4" s="37"/>
      <c r="H4" s="37"/>
      <c r="I4" s="37"/>
      <c r="J4" s="37"/>
      <c r="K4" s="37"/>
      <c r="M4" s="15" t="s">
        <v>284</v>
      </c>
      <c r="N4" s="12" t="s">
        <v>314</v>
      </c>
      <c r="O4" s="12" t="s">
        <v>318</v>
      </c>
      <c r="T4" s="2" t="s">
        <v>77</v>
      </c>
      <c r="U4" s="8"/>
    </row>
    <row r="5" spans="1:24" x14ac:dyDescent="0.25">
      <c r="A5" s="6">
        <v>46212</v>
      </c>
      <c r="B5" s="7" t="s">
        <v>465</v>
      </c>
      <c r="C5" s="7" t="s">
        <v>466</v>
      </c>
      <c r="D5" s="7" t="s">
        <v>45</v>
      </c>
      <c r="F5" s="37"/>
      <c r="G5" s="37"/>
      <c r="H5" s="37"/>
      <c r="I5" s="37"/>
      <c r="J5" s="37"/>
      <c r="K5" s="37"/>
      <c r="M5" s="11" t="s">
        <v>285</v>
      </c>
      <c r="N5" s="13">
        <v>1</v>
      </c>
      <c r="O5" s="25" t="s">
        <v>56</v>
      </c>
      <c r="T5" s="2" t="s">
        <v>78</v>
      </c>
      <c r="U5" s="8" t="s">
        <v>101</v>
      </c>
    </row>
    <row r="6" spans="1:24" x14ac:dyDescent="0.25">
      <c r="A6" s="6">
        <v>46213</v>
      </c>
      <c r="B6" s="7" t="s">
        <v>465</v>
      </c>
      <c r="C6" s="7" t="s">
        <v>466</v>
      </c>
      <c r="D6" s="7" t="s">
        <v>56</v>
      </c>
      <c r="F6" s="2" t="s">
        <v>0</v>
      </c>
      <c r="G6" s="6">
        <v>46213</v>
      </c>
      <c r="H6" s="2" t="s">
        <v>2</v>
      </c>
      <c r="I6" s="1" t="s">
        <v>22</v>
      </c>
      <c r="J6" s="2" t="s">
        <v>11</v>
      </c>
      <c r="K6" s="1" t="s">
        <v>14</v>
      </c>
      <c r="M6" s="11" t="s">
        <v>286</v>
      </c>
      <c r="N6" s="14">
        <v>8.4</v>
      </c>
      <c r="O6" s="26" t="s">
        <v>319</v>
      </c>
      <c r="T6" s="2" t="s">
        <v>92</v>
      </c>
      <c r="U6" s="8" t="s">
        <v>102</v>
      </c>
    </row>
    <row r="7" spans="1:24" x14ac:dyDescent="0.25">
      <c r="A7" s="6">
        <v>46213</v>
      </c>
      <c r="B7" s="7" t="s">
        <v>8</v>
      </c>
      <c r="C7" s="7" t="s">
        <v>9</v>
      </c>
      <c r="D7" s="7" t="s">
        <v>477</v>
      </c>
      <c r="F7" s="32" t="s">
        <v>481</v>
      </c>
      <c r="G7" s="32"/>
      <c r="H7" s="32"/>
      <c r="I7" s="32"/>
      <c r="J7" s="32"/>
      <c r="K7" s="32"/>
      <c r="M7" s="11" t="s">
        <v>287</v>
      </c>
      <c r="N7" s="1">
        <v>0.15</v>
      </c>
      <c r="O7" s="7" t="s">
        <v>320</v>
      </c>
      <c r="T7" s="2" t="s">
        <v>80</v>
      </c>
      <c r="U7" s="8" t="s">
        <v>233</v>
      </c>
    </row>
    <row r="8" spans="1:24" x14ac:dyDescent="0.25">
      <c r="A8" s="6">
        <v>46224</v>
      </c>
      <c r="B8" s="7" t="s">
        <v>30</v>
      </c>
      <c r="C8" s="7" t="s">
        <v>31</v>
      </c>
      <c r="D8" s="7" t="s">
        <v>538</v>
      </c>
      <c r="F8" s="32"/>
      <c r="G8" s="32"/>
      <c r="H8" s="32"/>
      <c r="I8" s="32"/>
      <c r="J8" s="32"/>
      <c r="K8" s="32"/>
      <c r="M8" s="11" t="s">
        <v>288</v>
      </c>
      <c r="N8" s="1">
        <v>1.1000000000000001</v>
      </c>
      <c r="O8" s="25" t="s">
        <v>322</v>
      </c>
      <c r="T8" s="2" t="s">
        <v>81</v>
      </c>
      <c r="U8" s="8"/>
    </row>
    <row r="9" spans="1:24" x14ac:dyDescent="0.25">
      <c r="A9" s="6">
        <v>46225</v>
      </c>
      <c r="B9" s="7" t="s">
        <v>573</v>
      </c>
      <c r="C9" s="7" t="s">
        <v>9</v>
      </c>
      <c r="D9" s="7" t="s">
        <v>574</v>
      </c>
      <c r="F9" s="2" t="s">
        <v>0</v>
      </c>
      <c r="G9" s="6">
        <v>46216</v>
      </c>
      <c r="H9" s="2" t="s">
        <v>2</v>
      </c>
      <c r="I9" s="1" t="s">
        <v>47</v>
      </c>
      <c r="J9" s="2" t="s">
        <v>11</v>
      </c>
      <c r="K9" s="1" t="s">
        <v>14</v>
      </c>
      <c r="M9" s="11" t="s">
        <v>289</v>
      </c>
      <c r="N9" s="13">
        <v>1.9</v>
      </c>
      <c r="O9" s="25" t="s">
        <v>322</v>
      </c>
      <c r="T9" s="2" t="s">
        <v>82</v>
      </c>
      <c r="U9" s="8">
        <f>U10+U11</f>
        <v>0.52470000000000006</v>
      </c>
    </row>
    <row r="10" spans="1:24" ht="14.45" customHeight="1" x14ac:dyDescent="0.25">
      <c r="A10" s="6">
        <v>46235</v>
      </c>
      <c r="B10" s="7" t="s">
        <v>444</v>
      </c>
      <c r="C10" s="7" t="s">
        <v>22</v>
      </c>
      <c r="D10" s="7" t="s">
        <v>718</v>
      </c>
      <c r="F10" s="32" t="s">
        <v>510</v>
      </c>
      <c r="G10" s="32"/>
      <c r="H10" s="32"/>
      <c r="I10" s="32"/>
      <c r="J10" s="32"/>
      <c r="K10" s="32"/>
      <c r="M10" s="11" t="s">
        <v>290</v>
      </c>
      <c r="N10" s="13">
        <v>20</v>
      </c>
      <c r="O10" s="25" t="s">
        <v>321</v>
      </c>
      <c r="T10" s="2" t="s">
        <v>83</v>
      </c>
      <c r="U10" s="10">
        <v>0.50990000000000002</v>
      </c>
    </row>
    <row r="11" spans="1:24" x14ac:dyDescent="0.25">
      <c r="A11" s="6">
        <v>46240</v>
      </c>
      <c r="B11" s="7" t="s">
        <v>782</v>
      </c>
      <c r="C11" s="7" t="s">
        <v>22</v>
      </c>
      <c r="D11" s="7" t="s">
        <v>785</v>
      </c>
      <c r="F11" s="32"/>
      <c r="G11" s="32"/>
      <c r="H11" s="32"/>
      <c r="I11" s="32"/>
      <c r="J11" s="32"/>
      <c r="K11" s="32"/>
      <c r="M11" s="11" t="s">
        <v>291</v>
      </c>
      <c r="N11" s="1">
        <v>6.2</v>
      </c>
      <c r="O11" s="25" t="s">
        <v>321</v>
      </c>
      <c r="T11" s="2" t="s">
        <v>84</v>
      </c>
      <c r="U11" s="10">
        <v>1.4800000000000001E-2</v>
      </c>
    </row>
    <row r="12" spans="1:24" x14ac:dyDescent="0.25">
      <c r="A12" s="6">
        <v>46245</v>
      </c>
      <c r="B12" s="7" t="s">
        <v>782</v>
      </c>
      <c r="C12" s="7" t="s">
        <v>22</v>
      </c>
      <c r="D12" s="7" t="s">
        <v>416</v>
      </c>
      <c r="F12" s="32"/>
      <c r="G12" s="32"/>
      <c r="H12" s="32"/>
      <c r="I12" s="32"/>
      <c r="J12" s="32"/>
      <c r="K12" s="32"/>
      <c r="M12" s="11" t="s">
        <v>292</v>
      </c>
      <c r="N12" s="13">
        <v>0.18</v>
      </c>
      <c r="O12" s="25" t="s">
        <v>319</v>
      </c>
      <c r="T12" s="2" t="s">
        <v>115</v>
      </c>
      <c r="U12" s="8"/>
    </row>
    <row r="13" spans="1:24" x14ac:dyDescent="0.25">
      <c r="A13" s="6">
        <v>46245</v>
      </c>
      <c r="B13" s="7" t="s">
        <v>862</v>
      </c>
      <c r="C13" s="7" t="s">
        <v>22</v>
      </c>
      <c r="D13" s="7" t="s">
        <v>45</v>
      </c>
      <c r="F13" s="2" t="s">
        <v>0</v>
      </c>
      <c r="G13" s="6">
        <v>46225</v>
      </c>
      <c r="H13" s="2" t="s">
        <v>2</v>
      </c>
      <c r="I13" s="1" t="s">
        <v>22</v>
      </c>
      <c r="J13" s="2" t="s">
        <v>11</v>
      </c>
      <c r="K13" s="1" t="s">
        <v>14</v>
      </c>
      <c r="M13" s="11" t="s">
        <v>293</v>
      </c>
      <c r="N13" s="14">
        <v>3.5</v>
      </c>
      <c r="O13" s="26" t="s">
        <v>320</v>
      </c>
      <c r="T13" s="2" t="s">
        <v>85</v>
      </c>
      <c r="U13" s="10">
        <f>U10</f>
        <v>0.50990000000000002</v>
      </c>
    </row>
    <row r="14" spans="1:24" ht="14.45" customHeight="1" x14ac:dyDescent="0.25">
      <c r="A14" s="6">
        <v>46245</v>
      </c>
      <c r="B14" s="7" t="s">
        <v>30</v>
      </c>
      <c r="C14" s="7" t="s">
        <v>63</v>
      </c>
      <c r="D14" s="7" t="s">
        <v>869</v>
      </c>
      <c r="F14" s="32" t="s">
        <v>593</v>
      </c>
      <c r="G14" s="32"/>
      <c r="H14" s="32"/>
      <c r="I14" s="32"/>
      <c r="J14" s="32"/>
      <c r="K14" s="32"/>
      <c r="M14" s="11" t="s">
        <v>294</v>
      </c>
      <c r="N14" s="1">
        <v>17.7</v>
      </c>
      <c r="O14" s="7" t="s">
        <v>321</v>
      </c>
      <c r="T14" s="2" t="s">
        <v>86</v>
      </c>
      <c r="U14" s="10">
        <f>U13*12.032</f>
        <v>6.1351168000000005</v>
      </c>
    </row>
    <row r="15" spans="1:24" x14ac:dyDescent="0.25">
      <c r="A15" s="6">
        <v>46253</v>
      </c>
      <c r="B15" s="7" t="s">
        <v>8</v>
      </c>
      <c r="C15" s="7" t="s">
        <v>22</v>
      </c>
      <c r="D15" s="7" t="s">
        <v>918</v>
      </c>
      <c r="F15" s="32"/>
      <c r="G15" s="32"/>
      <c r="H15" s="32"/>
      <c r="I15" s="32"/>
      <c r="J15" s="32"/>
      <c r="K15" s="32"/>
      <c r="M15" s="11" t="s">
        <v>295</v>
      </c>
      <c r="N15" s="1">
        <v>330</v>
      </c>
      <c r="O15" s="7" t="s">
        <v>322</v>
      </c>
    </row>
    <row r="16" spans="1:24" x14ac:dyDescent="0.25">
      <c r="A16" s="6">
        <v>46269</v>
      </c>
      <c r="B16" s="7" t="s">
        <v>862</v>
      </c>
      <c r="C16" s="7" t="s">
        <v>47</v>
      </c>
      <c r="D16" s="7" t="s">
        <v>45</v>
      </c>
      <c r="F16" s="32"/>
      <c r="G16" s="32"/>
      <c r="H16" s="32"/>
      <c r="I16" s="32"/>
      <c r="J16" s="32"/>
      <c r="K16" s="32"/>
      <c r="M16" s="11" t="s">
        <v>296</v>
      </c>
      <c r="N16" s="8">
        <v>6940</v>
      </c>
      <c r="O16" s="7" t="s">
        <v>323</v>
      </c>
    </row>
    <row r="17" spans="1:15" x14ac:dyDescent="0.25">
      <c r="A17" s="6">
        <v>46273</v>
      </c>
      <c r="B17" s="7" t="s">
        <v>1107</v>
      </c>
      <c r="C17" s="7" t="s">
        <v>47</v>
      </c>
      <c r="D17" s="7" t="s">
        <v>56</v>
      </c>
      <c r="F17" s="32"/>
      <c r="G17" s="32"/>
      <c r="H17" s="32"/>
      <c r="I17" s="32"/>
      <c r="J17" s="32"/>
      <c r="K17" s="32"/>
      <c r="M17" s="11" t="s">
        <v>297</v>
      </c>
      <c r="N17" s="8">
        <v>246</v>
      </c>
      <c r="O17" s="7" t="s">
        <v>319</v>
      </c>
    </row>
    <row r="18" spans="1:15" x14ac:dyDescent="0.25">
      <c r="A18" s="6">
        <v>46273</v>
      </c>
      <c r="B18" s="7" t="s">
        <v>1108</v>
      </c>
      <c r="C18" s="7" t="s">
        <v>47</v>
      </c>
      <c r="D18" s="7" t="s">
        <v>56</v>
      </c>
      <c r="F18" s="2" t="s">
        <v>0</v>
      </c>
      <c r="G18" s="6">
        <v>46235</v>
      </c>
      <c r="H18" s="2" t="s">
        <v>2</v>
      </c>
      <c r="I18" s="1" t="s">
        <v>22</v>
      </c>
      <c r="J18" s="2" t="s">
        <v>11</v>
      </c>
      <c r="K18" s="1" t="s">
        <v>14</v>
      </c>
      <c r="M18" s="11" t="s">
        <v>298</v>
      </c>
      <c r="N18" s="8">
        <v>26</v>
      </c>
      <c r="O18" s="7" t="s">
        <v>320</v>
      </c>
    </row>
    <row r="19" spans="1:15" x14ac:dyDescent="0.25">
      <c r="A19" s="6">
        <v>46274</v>
      </c>
      <c r="B19" s="7" t="s">
        <v>343</v>
      </c>
      <c r="C19" s="7" t="s">
        <v>344</v>
      </c>
      <c r="D19" s="7" t="s">
        <v>1029</v>
      </c>
      <c r="F19" s="32" t="s">
        <v>725</v>
      </c>
      <c r="G19" s="32"/>
      <c r="H19" s="32"/>
      <c r="I19" s="32"/>
      <c r="J19" s="32"/>
      <c r="K19" s="32"/>
      <c r="M19" s="11" t="s">
        <v>299</v>
      </c>
      <c r="N19" s="8">
        <v>1.04</v>
      </c>
      <c r="O19" s="7" t="s">
        <v>322</v>
      </c>
    </row>
    <row r="20" spans="1:15" x14ac:dyDescent="0.25">
      <c r="A20" s="6">
        <v>46276</v>
      </c>
      <c r="B20" s="7" t="s">
        <v>1130</v>
      </c>
      <c r="C20" s="7" t="s">
        <v>22</v>
      </c>
      <c r="D20" s="7" t="s">
        <v>1131</v>
      </c>
      <c r="F20" s="32"/>
      <c r="G20" s="32"/>
      <c r="H20" s="32"/>
      <c r="I20" s="32"/>
      <c r="J20" s="32"/>
      <c r="K20" s="32"/>
      <c r="M20" s="11" t="s">
        <v>300</v>
      </c>
      <c r="N20" s="8">
        <v>152</v>
      </c>
      <c r="O20" s="7" t="s">
        <v>322</v>
      </c>
    </row>
    <row r="21" spans="1:15" x14ac:dyDescent="0.25">
      <c r="A21" s="6">
        <v>46284</v>
      </c>
      <c r="B21" s="7" t="s">
        <v>1216</v>
      </c>
      <c r="C21" s="7" t="s">
        <v>47</v>
      </c>
      <c r="D21" s="7" t="s">
        <v>56</v>
      </c>
      <c r="F21" s="32"/>
      <c r="G21" s="32"/>
      <c r="H21" s="32"/>
      <c r="I21" s="32"/>
      <c r="J21" s="32"/>
      <c r="K21" s="32"/>
      <c r="M21" s="11" t="s">
        <v>301</v>
      </c>
      <c r="N21" s="8">
        <v>4.0999999999999996</v>
      </c>
      <c r="O21" s="7" t="s">
        <v>321</v>
      </c>
    </row>
    <row r="22" spans="1:15" x14ac:dyDescent="0.25">
      <c r="A22" s="6">
        <v>46284</v>
      </c>
      <c r="B22" s="7" t="s">
        <v>1217</v>
      </c>
      <c r="C22" s="7" t="s">
        <v>47</v>
      </c>
      <c r="D22" s="7" t="s">
        <v>56</v>
      </c>
      <c r="F22" s="32"/>
      <c r="G22" s="32"/>
      <c r="H22" s="32"/>
      <c r="I22" s="32"/>
      <c r="J22" s="32"/>
      <c r="K22" s="32"/>
      <c r="M22" s="11" t="s">
        <v>302</v>
      </c>
      <c r="N22" s="8">
        <v>135</v>
      </c>
      <c r="O22" s="7" t="s">
        <v>322</v>
      </c>
    </row>
    <row r="23" spans="1:15" x14ac:dyDescent="0.25">
      <c r="F23" s="2" t="s">
        <v>0</v>
      </c>
      <c r="G23" s="6">
        <v>46237</v>
      </c>
      <c r="H23" s="2" t="s">
        <v>2</v>
      </c>
      <c r="I23" s="1" t="s">
        <v>47</v>
      </c>
      <c r="J23" s="2" t="s">
        <v>11</v>
      </c>
      <c r="K23" s="1" t="s">
        <v>14</v>
      </c>
      <c r="M23" s="11" t="s">
        <v>303</v>
      </c>
      <c r="N23" s="8">
        <v>12</v>
      </c>
      <c r="O23" s="7" t="s">
        <v>322</v>
      </c>
    </row>
    <row r="24" spans="1:15" x14ac:dyDescent="0.25">
      <c r="F24" s="32" t="s">
        <v>732</v>
      </c>
      <c r="G24" s="32"/>
      <c r="H24" s="32"/>
      <c r="I24" s="32"/>
      <c r="J24" s="32"/>
      <c r="K24" s="32"/>
      <c r="M24" s="11" t="s">
        <v>304</v>
      </c>
      <c r="N24" s="8">
        <v>0.1</v>
      </c>
      <c r="O24" s="25" t="s">
        <v>331</v>
      </c>
    </row>
    <row r="25" spans="1:15" x14ac:dyDescent="0.25">
      <c r="F25" s="32"/>
      <c r="G25" s="32"/>
      <c r="H25" s="32"/>
      <c r="I25" s="32"/>
      <c r="J25" s="32"/>
      <c r="K25" s="32"/>
      <c r="M25" s="11" t="s">
        <v>305</v>
      </c>
      <c r="N25" s="8">
        <v>6.2</v>
      </c>
      <c r="O25" s="7" t="s">
        <v>331</v>
      </c>
    </row>
    <row r="26" spans="1:15" x14ac:dyDescent="0.25">
      <c r="F26" s="32"/>
      <c r="G26" s="32"/>
      <c r="H26" s="32"/>
      <c r="I26" s="32"/>
      <c r="J26" s="32"/>
      <c r="K26" s="32"/>
      <c r="M26" s="11" t="s">
        <v>306</v>
      </c>
      <c r="N26" s="24">
        <v>28.2</v>
      </c>
      <c r="O26" s="26" t="s">
        <v>325</v>
      </c>
    </row>
    <row r="27" spans="1:15" x14ac:dyDescent="0.25">
      <c r="F27" s="2" t="s">
        <v>0</v>
      </c>
      <c r="G27" s="6">
        <v>46240</v>
      </c>
      <c r="H27" s="2" t="s">
        <v>2</v>
      </c>
      <c r="I27" s="1" t="s">
        <v>350</v>
      </c>
      <c r="J27" s="2" t="s">
        <v>11</v>
      </c>
      <c r="K27" s="1" t="s">
        <v>14</v>
      </c>
      <c r="M27" s="11" t="s">
        <v>307</v>
      </c>
      <c r="N27" s="8">
        <v>0.7</v>
      </c>
      <c r="O27" s="7" t="s">
        <v>325</v>
      </c>
    </row>
    <row r="28" spans="1:15" x14ac:dyDescent="0.25">
      <c r="F28" s="32" t="s">
        <v>786</v>
      </c>
      <c r="G28" s="32"/>
      <c r="H28" s="32"/>
      <c r="I28" s="32"/>
      <c r="J28" s="32"/>
      <c r="K28" s="32"/>
      <c r="M28" s="11" t="s">
        <v>308</v>
      </c>
      <c r="N28" s="8">
        <v>21</v>
      </c>
      <c r="O28" s="7" t="s">
        <v>332</v>
      </c>
    </row>
    <row r="29" spans="1:15" x14ac:dyDescent="0.25">
      <c r="F29" s="32"/>
      <c r="G29" s="32"/>
      <c r="H29" s="32"/>
      <c r="I29" s="32"/>
      <c r="J29" s="32"/>
      <c r="K29" s="32"/>
      <c r="M29" s="11" t="s">
        <v>309</v>
      </c>
      <c r="N29" s="8">
        <v>34.6</v>
      </c>
      <c r="O29" s="7" t="s">
        <v>56</v>
      </c>
    </row>
    <row r="30" spans="1:15" x14ac:dyDescent="0.25">
      <c r="F30" s="32"/>
      <c r="G30" s="32"/>
      <c r="H30" s="32"/>
      <c r="I30" s="32"/>
      <c r="J30" s="32"/>
      <c r="K30" s="32"/>
      <c r="M30" s="11" t="s">
        <v>310</v>
      </c>
      <c r="N30" s="8">
        <v>30.8</v>
      </c>
      <c r="O30" s="7" t="s">
        <v>56</v>
      </c>
    </row>
    <row r="31" spans="1:15" x14ac:dyDescent="0.25">
      <c r="F31" s="2" t="s">
        <v>0</v>
      </c>
      <c r="G31" s="6">
        <v>46245</v>
      </c>
      <c r="H31" s="2" t="s">
        <v>2</v>
      </c>
      <c r="I31" s="1" t="s">
        <v>22</v>
      </c>
      <c r="J31" s="2" t="s">
        <v>11</v>
      </c>
      <c r="K31" s="1" t="s">
        <v>14</v>
      </c>
      <c r="M31" s="11" t="s">
        <v>311</v>
      </c>
      <c r="N31" s="8">
        <v>34.700000000000003</v>
      </c>
      <c r="O31" s="7" t="s">
        <v>56</v>
      </c>
    </row>
    <row r="32" spans="1:15" ht="14.45" customHeight="1" x14ac:dyDescent="0.25">
      <c r="F32" s="32" t="s">
        <v>861</v>
      </c>
      <c r="G32" s="32"/>
      <c r="H32" s="32"/>
      <c r="I32" s="32"/>
      <c r="J32" s="32"/>
      <c r="K32" s="32"/>
    </row>
    <row r="33" spans="6:11" x14ac:dyDescent="0.25">
      <c r="F33" s="32"/>
      <c r="G33" s="32"/>
      <c r="H33" s="32"/>
      <c r="I33" s="32"/>
      <c r="J33" s="32"/>
      <c r="K33" s="32"/>
    </row>
    <row r="34" spans="6:11" x14ac:dyDescent="0.25">
      <c r="F34" s="32"/>
      <c r="G34" s="32"/>
      <c r="H34" s="32"/>
      <c r="I34" s="32"/>
      <c r="J34" s="32"/>
      <c r="K34" s="32"/>
    </row>
    <row r="35" spans="6:11" x14ac:dyDescent="0.25">
      <c r="F35" s="32"/>
      <c r="G35" s="32"/>
      <c r="H35" s="32"/>
      <c r="I35" s="32"/>
      <c r="J35" s="32"/>
      <c r="K35" s="32"/>
    </row>
    <row r="36" spans="6:11" x14ac:dyDescent="0.25">
      <c r="F36" s="32"/>
      <c r="G36" s="32"/>
      <c r="H36" s="32"/>
      <c r="I36" s="32"/>
      <c r="J36" s="32"/>
      <c r="K36" s="32"/>
    </row>
    <row r="37" spans="6:11" x14ac:dyDescent="0.25">
      <c r="F37" s="32"/>
      <c r="G37" s="32"/>
      <c r="H37" s="32"/>
      <c r="I37" s="32"/>
      <c r="J37" s="32"/>
      <c r="K37" s="32"/>
    </row>
    <row r="38" spans="6:11" x14ac:dyDescent="0.25">
      <c r="F38" s="2" t="s">
        <v>0</v>
      </c>
      <c r="G38" s="6">
        <v>46246</v>
      </c>
      <c r="H38" s="2" t="s">
        <v>2</v>
      </c>
      <c r="I38" s="1" t="s">
        <v>47</v>
      </c>
      <c r="J38" s="2" t="s">
        <v>11</v>
      </c>
      <c r="K38" s="1" t="s">
        <v>14</v>
      </c>
    </row>
    <row r="39" spans="6:11" ht="14.45" customHeight="1" x14ac:dyDescent="0.25">
      <c r="F39" s="32" t="s">
        <v>882</v>
      </c>
      <c r="G39" s="32"/>
      <c r="H39" s="32"/>
      <c r="I39" s="32"/>
      <c r="J39" s="32"/>
      <c r="K39" s="32"/>
    </row>
    <row r="40" spans="6:11" x14ac:dyDescent="0.25">
      <c r="F40" s="32"/>
      <c r="G40" s="32"/>
      <c r="H40" s="32"/>
      <c r="I40" s="32"/>
      <c r="J40" s="32"/>
      <c r="K40" s="32"/>
    </row>
    <row r="41" spans="6:11" x14ac:dyDescent="0.25">
      <c r="F41" s="32"/>
      <c r="G41" s="32"/>
      <c r="H41" s="32"/>
      <c r="I41" s="32"/>
      <c r="J41" s="32"/>
      <c r="K41" s="32"/>
    </row>
    <row r="42" spans="6:11" x14ac:dyDescent="0.25">
      <c r="F42" s="32"/>
      <c r="G42" s="32"/>
      <c r="H42" s="32"/>
      <c r="I42" s="32"/>
      <c r="J42" s="32"/>
      <c r="K42" s="32"/>
    </row>
    <row r="43" spans="6:11" x14ac:dyDescent="0.25">
      <c r="F43" s="32"/>
      <c r="G43" s="32"/>
      <c r="H43" s="32"/>
      <c r="I43" s="32"/>
      <c r="J43" s="32"/>
      <c r="K43" s="32"/>
    </row>
    <row r="44" spans="6:11" x14ac:dyDescent="0.25">
      <c r="F44" s="2" t="s">
        <v>0</v>
      </c>
      <c r="G44" s="6">
        <v>46253</v>
      </c>
      <c r="H44" s="2" t="s">
        <v>2</v>
      </c>
      <c r="I44" s="1" t="s">
        <v>22</v>
      </c>
      <c r="J44" s="2" t="s">
        <v>11</v>
      </c>
      <c r="K44" s="1" t="s">
        <v>14</v>
      </c>
    </row>
    <row r="45" spans="6:11" ht="14.45" customHeight="1" x14ac:dyDescent="0.25">
      <c r="F45" s="32" t="s">
        <v>933</v>
      </c>
      <c r="G45" s="32"/>
      <c r="H45" s="32"/>
      <c r="I45" s="32"/>
      <c r="J45" s="32"/>
      <c r="K45" s="32"/>
    </row>
    <row r="46" spans="6:11" x14ac:dyDescent="0.25">
      <c r="F46" s="32"/>
      <c r="G46" s="32"/>
      <c r="H46" s="32"/>
      <c r="I46" s="32"/>
      <c r="J46" s="32"/>
      <c r="K46" s="32"/>
    </row>
    <row r="47" spans="6:11" x14ac:dyDescent="0.25">
      <c r="F47" s="32"/>
      <c r="G47" s="32"/>
      <c r="H47" s="32"/>
      <c r="I47" s="32"/>
      <c r="J47" s="32"/>
      <c r="K47" s="32"/>
    </row>
    <row r="48" spans="6:11" x14ac:dyDescent="0.25">
      <c r="F48" s="32"/>
      <c r="G48" s="32"/>
      <c r="H48" s="32"/>
      <c r="I48" s="32"/>
      <c r="J48" s="32"/>
      <c r="K48" s="32"/>
    </row>
    <row r="49" spans="6:11" x14ac:dyDescent="0.25">
      <c r="F49" s="2" t="s">
        <v>0</v>
      </c>
      <c r="G49" s="6">
        <v>46268</v>
      </c>
      <c r="H49" s="2" t="s">
        <v>2</v>
      </c>
      <c r="I49" s="1" t="s">
        <v>47</v>
      </c>
      <c r="J49" s="2" t="s">
        <v>11</v>
      </c>
      <c r="K49" s="1" t="s">
        <v>14</v>
      </c>
    </row>
    <row r="50" spans="6:11" x14ac:dyDescent="0.25">
      <c r="F50" s="32" t="s">
        <v>1068</v>
      </c>
      <c r="G50" s="32"/>
      <c r="H50" s="32"/>
      <c r="I50" s="32"/>
      <c r="J50" s="32"/>
      <c r="K50" s="32"/>
    </row>
    <row r="51" spans="6:11" x14ac:dyDescent="0.25">
      <c r="F51" s="32"/>
      <c r="G51" s="32"/>
      <c r="H51" s="32"/>
      <c r="I51" s="32"/>
      <c r="J51" s="32"/>
      <c r="K51" s="32"/>
    </row>
    <row r="52" spans="6:11" x14ac:dyDescent="0.25">
      <c r="F52" s="2" t="s">
        <v>0</v>
      </c>
      <c r="G52" s="6">
        <v>46269</v>
      </c>
      <c r="H52" s="2" t="s">
        <v>2</v>
      </c>
      <c r="I52" s="1" t="s">
        <v>47</v>
      </c>
      <c r="J52" s="2" t="s">
        <v>11</v>
      </c>
      <c r="K52" s="1" t="s">
        <v>14</v>
      </c>
    </row>
    <row r="53" spans="6:11" ht="14.45" customHeight="1" x14ac:dyDescent="0.25">
      <c r="F53" s="32" t="s">
        <v>1081</v>
      </c>
      <c r="G53" s="32"/>
      <c r="H53" s="32"/>
      <c r="I53" s="32"/>
      <c r="J53" s="32"/>
      <c r="K53" s="32"/>
    </row>
    <row r="54" spans="6:11" x14ac:dyDescent="0.25">
      <c r="F54" s="32"/>
      <c r="G54" s="32"/>
      <c r="H54" s="32"/>
      <c r="I54" s="32"/>
      <c r="J54" s="32"/>
      <c r="K54" s="32"/>
    </row>
    <row r="55" spans="6:11" x14ac:dyDescent="0.25">
      <c r="F55" s="32"/>
      <c r="G55" s="32"/>
      <c r="H55" s="32"/>
      <c r="I55" s="32"/>
      <c r="J55" s="32"/>
      <c r="K55" s="32"/>
    </row>
    <row r="56" spans="6:11" x14ac:dyDescent="0.25">
      <c r="F56" s="2" t="s">
        <v>0</v>
      </c>
      <c r="G56" s="6">
        <v>46273</v>
      </c>
      <c r="H56" s="2" t="s">
        <v>2</v>
      </c>
      <c r="I56" s="1" t="s">
        <v>47</v>
      </c>
      <c r="J56" s="2" t="s">
        <v>11</v>
      </c>
      <c r="K56" s="1" t="s">
        <v>14</v>
      </c>
    </row>
    <row r="57" spans="6:11" ht="14.45" customHeight="1" x14ac:dyDescent="0.25">
      <c r="F57" s="32" t="s">
        <v>1109</v>
      </c>
      <c r="G57" s="32"/>
      <c r="H57" s="32"/>
      <c r="I57" s="32"/>
      <c r="J57" s="32"/>
      <c r="K57" s="32"/>
    </row>
    <row r="58" spans="6:11" x14ac:dyDescent="0.25">
      <c r="F58" s="32"/>
      <c r="G58" s="32"/>
      <c r="H58" s="32"/>
      <c r="I58" s="32"/>
      <c r="J58" s="32"/>
      <c r="K58" s="32"/>
    </row>
    <row r="59" spans="6:11" x14ac:dyDescent="0.25">
      <c r="F59" s="32"/>
      <c r="G59" s="32"/>
      <c r="H59" s="32"/>
      <c r="I59" s="32"/>
      <c r="J59" s="32"/>
      <c r="K59" s="32"/>
    </row>
    <row r="60" spans="6:11" x14ac:dyDescent="0.25">
      <c r="F60" s="32"/>
      <c r="G60" s="32"/>
      <c r="H60" s="32"/>
      <c r="I60" s="32"/>
      <c r="J60" s="32"/>
      <c r="K60" s="32"/>
    </row>
    <row r="61" spans="6:11" x14ac:dyDescent="0.25">
      <c r="F61" s="2" t="s">
        <v>0</v>
      </c>
      <c r="G61" s="6">
        <v>46276</v>
      </c>
      <c r="H61" s="2" t="s">
        <v>2</v>
      </c>
      <c r="I61" s="1" t="s">
        <v>22</v>
      </c>
      <c r="J61" s="2" t="s">
        <v>11</v>
      </c>
      <c r="K61" s="1" t="s">
        <v>14</v>
      </c>
    </row>
    <row r="62" spans="6:11" x14ac:dyDescent="0.25">
      <c r="F62" s="32" t="s">
        <v>1134</v>
      </c>
      <c r="G62" s="32"/>
      <c r="H62" s="32"/>
      <c r="I62" s="32"/>
      <c r="J62" s="32"/>
      <c r="K62" s="32"/>
    </row>
    <row r="63" spans="6:11" x14ac:dyDescent="0.25">
      <c r="F63" s="32"/>
      <c r="G63" s="32"/>
      <c r="H63" s="32"/>
      <c r="I63" s="32"/>
      <c r="J63" s="32"/>
      <c r="K63" s="32"/>
    </row>
    <row r="64" spans="6:11" x14ac:dyDescent="0.25">
      <c r="F64" s="2" t="s">
        <v>0</v>
      </c>
      <c r="G64" s="6">
        <v>46284</v>
      </c>
      <c r="H64" s="2" t="s">
        <v>2</v>
      </c>
      <c r="I64" s="1" t="s">
        <v>47</v>
      </c>
      <c r="J64" s="2" t="s">
        <v>11</v>
      </c>
      <c r="K64" s="1" t="s">
        <v>14</v>
      </c>
    </row>
    <row r="65" spans="6:11" ht="14.45" customHeight="1" x14ac:dyDescent="0.25">
      <c r="F65" s="32" t="s">
        <v>1218</v>
      </c>
      <c r="G65" s="32"/>
      <c r="H65" s="32"/>
      <c r="I65" s="32"/>
      <c r="J65" s="32"/>
      <c r="K65" s="32"/>
    </row>
    <row r="66" spans="6:11" x14ac:dyDescent="0.25">
      <c r="F66" s="32"/>
      <c r="G66" s="32"/>
      <c r="H66" s="32"/>
      <c r="I66" s="32"/>
      <c r="J66" s="32"/>
      <c r="K66" s="32"/>
    </row>
    <row r="67" spans="6:11" x14ac:dyDescent="0.25">
      <c r="F67" s="32"/>
      <c r="G67" s="32"/>
      <c r="H67" s="32"/>
      <c r="I67" s="32"/>
      <c r="J67" s="32"/>
      <c r="K67" s="32"/>
    </row>
    <row r="68" spans="6:11" x14ac:dyDescent="0.25">
      <c r="F68" s="32"/>
      <c r="G68" s="32"/>
      <c r="H68" s="32"/>
      <c r="I68" s="32"/>
      <c r="J68" s="32"/>
      <c r="K68" s="32"/>
    </row>
    <row r="69" spans="6:11" x14ac:dyDescent="0.25">
      <c r="F69" s="32"/>
      <c r="G69" s="32"/>
      <c r="H69" s="32"/>
      <c r="I69" s="32"/>
      <c r="J69" s="32"/>
      <c r="K69" s="32"/>
    </row>
  </sheetData>
  <mergeCells count="19">
    <mergeCell ref="F65:K69"/>
    <mergeCell ref="F62:K63"/>
    <mergeCell ref="F50:K51"/>
    <mergeCell ref="F53:K55"/>
    <mergeCell ref="F57:K60"/>
    <mergeCell ref="F45:K48"/>
    <mergeCell ref="F39:K43"/>
    <mergeCell ref="F10:K12"/>
    <mergeCell ref="W1:X1"/>
    <mergeCell ref="T1:U1"/>
    <mergeCell ref="F3:K5"/>
    <mergeCell ref="F7:K8"/>
    <mergeCell ref="F1:K1"/>
    <mergeCell ref="M1:R1"/>
    <mergeCell ref="F32:K37"/>
    <mergeCell ref="F28:K30"/>
    <mergeCell ref="F24:K26"/>
    <mergeCell ref="F19:K22"/>
    <mergeCell ref="F14:K1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2AFBE-8979-45DA-BDD1-CBDCD30CEFF1}">
  <dimension ref="A1:V114"/>
  <sheetViews>
    <sheetView topLeftCell="A16" workbookViewId="0">
      <selection activeCell="B39" sqref="B39"/>
    </sheetView>
  </sheetViews>
  <sheetFormatPr baseColWidth="10" defaultRowHeight="15" x14ac:dyDescent="0.25"/>
  <cols>
    <col min="1" max="1" width="11.5703125" style="1"/>
    <col min="2" max="2" width="36.85546875" style="7" bestFit="1" customWidth="1"/>
    <col min="3" max="3" width="11.5703125" style="7"/>
    <col min="4" max="4" width="30.5703125" style="7" bestFit="1" customWidth="1"/>
    <col min="18" max="18" width="21.28515625" bestFit="1" customWidth="1"/>
    <col min="19" max="19" width="19.42578125" bestFit="1" customWidth="1"/>
    <col min="21" max="21" width="11.5703125" style="7"/>
    <col min="22" max="22" width="15" style="7" bestFit="1" customWidth="1"/>
  </cols>
  <sheetData>
    <row r="1" spans="1:22" x14ac:dyDescent="0.25">
      <c r="A1" s="3" t="s">
        <v>0</v>
      </c>
      <c r="B1" s="3" t="s">
        <v>1</v>
      </c>
      <c r="C1" s="3" t="s">
        <v>2</v>
      </c>
      <c r="D1" s="3" t="s">
        <v>3</v>
      </c>
      <c r="F1" s="36" t="s">
        <v>4</v>
      </c>
      <c r="G1" s="36"/>
      <c r="H1" s="36"/>
      <c r="I1" s="36"/>
      <c r="J1" s="36"/>
      <c r="K1" s="36"/>
      <c r="M1" s="34" t="s">
        <v>5</v>
      </c>
      <c r="N1" s="38"/>
      <c r="O1" s="38"/>
      <c r="P1" s="35"/>
      <c r="R1" s="34" t="s">
        <v>7</v>
      </c>
      <c r="S1" s="35"/>
      <c r="U1" s="33" t="s">
        <v>87</v>
      </c>
      <c r="V1" s="33"/>
    </row>
    <row r="2" spans="1:22" ht="14.45" customHeight="1" x14ac:dyDescent="0.25">
      <c r="A2" s="6">
        <v>46195</v>
      </c>
      <c r="B2" s="7" t="s">
        <v>30</v>
      </c>
      <c r="C2" s="7" t="s">
        <v>31</v>
      </c>
      <c r="D2" s="7" t="s">
        <v>32</v>
      </c>
      <c r="F2" s="2" t="s">
        <v>0</v>
      </c>
      <c r="G2" s="4">
        <v>46196</v>
      </c>
      <c r="H2" s="2" t="s">
        <v>2</v>
      </c>
      <c r="I2" s="1" t="s">
        <v>22</v>
      </c>
      <c r="J2" s="2" t="s">
        <v>11</v>
      </c>
      <c r="K2" s="1" t="s">
        <v>14</v>
      </c>
      <c r="M2" s="2" t="s">
        <v>0</v>
      </c>
      <c r="N2" s="1"/>
      <c r="O2" s="2" t="s">
        <v>6</v>
      </c>
      <c r="P2" s="1"/>
      <c r="R2" s="2" t="s">
        <v>11</v>
      </c>
      <c r="S2" s="8" t="s">
        <v>236</v>
      </c>
      <c r="U2" s="3" t="s">
        <v>0</v>
      </c>
      <c r="V2" s="3" t="s">
        <v>88</v>
      </c>
    </row>
    <row r="3" spans="1:22" x14ac:dyDescent="0.25">
      <c r="A3" s="6">
        <v>46196</v>
      </c>
      <c r="B3" s="7" t="s">
        <v>8</v>
      </c>
      <c r="C3" s="7" t="s">
        <v>9</v>
      </c>
      <c r="D3" s="7" t="s">
        <v>10</v>
      </c>
      <c r="F3" s="37" t="s">
        <v>41</v>
      </c>
      <c r="G3" s="37"/>
      <c r="H3" s="37"/>
      <c r="I3" s="37"/>
      <c r="J3" s="37"/>
      <c r="K3" s="37"/>
      <c r="R3" s="2" t="s">
        <v>76</v>
      </c>
      <c r="S3" s="8" t="s">
        <v>234</v>
      </c>
    </row>
    <row r="4" spans="1:22" x14ac:dyDescent="0.25">
      <c r="A4" s="6">
        <v>46196</v>
      </c>
      <c r="B4" s="7" t="s">
        <v>48</v>
      </c>
      <c r="C4" s="7" t="s">
        <v>47</v>
      </c>
      <c r="D4" s="7" t="s">
        <v>49</v>
      </c>
      <c r="F4" s="37"/>
      <c r="G4" s="37"/>
      <c r="H4" s="37"/>
      <c r="I4" s="37"/>
      <c r="J4" s="37"/>
      <c r="K4" s="37"/>
      <c r="R4" s="2" t="s">
        <v>77</v>
      </c>
      <c r="S4" s="8"/>
    </row>
    <row r="5" spans="1:22" x14ac:dyDescent="0.25">
      <c r="A5" s="6">
        <v>46199</v>
      </c>
      <c r="B5" s="7" t="s">
        <v>343</v>
      </c>
      <c r="C5" s="7" t="s">
        <v>344</v>
      </c>
      <c r="D5" s="7" t="s">
        <v>345</v>
      </c>
      <c r="F5" s="2" t="s">
        <v>0</v>
      </c>
      <c r="G5" s="4">
        <v>46196</v>
      </c>
      <c r="H5" s="2" t="s">
        <v>2</v>
      </c>
      <c r="I5" s="1" t="s">
        <v>47</v>
      </c>
      <c r="J5" s="2" t="s">
        <v>11</v>
      </c>
      <c r="K5" s="1" t="s">
        <v>14</v>
      </c>
      <c r="R5" s="2" t="s">
        <v>78</v>
      </c>
      <c r="S5" s="8" t="s">
        <v>101</v>
      </c>
    </row>
    <row r="6" spans="1:22" x14ac:dyDescent="0.25">
      <c r="A6" s="6">
        <v>46211</v>
      </c>
      <c r="B6" s="7" t="s">
        <v>30</v>
      </c>
      <c r="C6" s="7" t="s">
        <v>31</v>
      </c>
      <c r="D6" s="7" t="s">
        <v>478</v>
      </c>
      <c r="F6" s="32" t="s">
        <v>58</v>
      </c>
      <c r="G6" s="32"/>
      <c r="H6" s="32"/>
      <c r="I6" s="32"/>
      <c r="J6" s="32"/>
      <c r="K6" s="32"/>
      <c r="R6" s="2" t="s">
        <v>92</v>
      </c>
      <c r="S6" s="8" t="s">
        <v>237</v>
      </c>
    </row>
    <row r="7" spans="1:22" x14ac:dyDescent="0.25">
      <c r="A7" s="6">
        <v>46213</v>
      </c>
      <c r="B7" s="7" t="s">
        <v>8</v>
      </c>
      <c r="C7" s="7" t="s">
        <v>9</v>
      </c>
      <c r="D7" s="7" t="s">
        <v>477</v>
      </c>
      <c r="F7" s="32"/>
      <c r="G7" s="32"/>
      <c r="H7" s="32"/>
      <c r="I7" s="32"/>
      <c r="J7" s="32"/>
      <c r="K7" s="32"/>
      <c r="R7" s="2" t="s">
        <v>80</v>
      </c>
      <c r="S7" s="7" t="s">
        <v>166</v>
      </c>
    </row>
    <row r="8" spans="1:22" x14ac:dyDescent="0.25">
      <c r="A8" s="6">
        <v>46224</v>
      </c>
      <c r="B8" s="7" t="s">
        <v>30</v>
      </c>
      <c r="C8" s="7" t="s">
        <v>31</v>
      </c>
      <c r="D8" s="7" t="s">
        <v>538</v>
      </c>
      <c r="F8" s="2" t="s">
        <v>0</v>
      </c>
      <c r="G8" s="6">
        <v>46213</v>
      </c>
      <c r="H8" s="2" t="s">
        <v>2</v>
      </c>
      <c r="I8" s="1" t="s">
        <v>47</v>
      </c>
      <c r="J8" s="2" t="s">
        <v>11</v>
      </c>
      <c r="K8" s="1" t="s">
        <v>14</v>
      </c>
      <c r="R8" s="2" t="s">
        <v>81</v>
      </c>
      <c r="S8" s="8"/>
    </row>
    <row r="9" spans="1:22" x14ac:dyDescent="0.25">
      <c r="A9" s="6">
        <v>46231</v>
      </c>
      <c r="B9" s="7" t="s">
        <v>48</v>
      </c>
      <c r="C9" s="7" t="s">
        <v>47</v>
      </c>
      <c r="D9" s="7">
        <v>1000</v>
      </c>
      <c r="F9" s="32" t="s">
        <v>479</v>
      </c>
      <c r="G9" s="32"/>
      <c r="H9" s="32"/>
      <c r="I9" s="32"/>
      <c r="J9" s="32"/>
      <c r="K9" s="32"/>
      <c r="R9" s="2" t="s">
        <v>82</v>
      </c>
      <c r="S9" s="8">
        <f>S10+S11</f>
        <v>0.23480000000000001</v>
      </c>
    </row>
    <row r="10" spans="1:22" x14ac:dyDescent="0.25">
      <c r="A10" s="6">
        <v>46231</v>
      </c>
      <c r="B10" s="7" t="s">
        <v>687</v>
      </c>
      <c r="C10" s="7" t="s">
        <v>47</v>
      </c>
      <c r="D10" s="7" t="s">
        <v>56</v>
      </c>
      <c r="F10" s="32"/>
      <c r="G10" s="32"/>
      <c r="H10" s="32"/>
      <c r="I10" s="32"/>
      <c r="J10" s="32"/>
      <c r="K10" s="32"/>
      <c r="R10" s="2" t="s">
        <v>83</v>
      </c>
      <c r="S10" s="10">
        <v>0.14580000000000001</v>
      </c>
    </row>
    <row r="11" spans="1:22" x14ac:dyDescent="0.25">
      <c r="A11" s="6">
        <v>46231</v>
      </c>
      <c r="B11" s="7" t="s">
        <v>8</v>
      </c>
      <c r="C11" s="7" t="s">
        <v>9</v>
      </c>
      <c r="D11" s="7" t="s">
        <v>688</v>
      </c>
      <c r="F11" s="2" t="s">
        <v>0</v>
      </c>
      <c r="G11" s="6">
        <v>46220</v>
      </c>
      <c r="H11" s="2" t="s">
        <v>2</v>
      </c>
      <c r="I11" s="1" t="s">
        <v>47</v>
      </c>
      <c r="J11" s="2" t="s">
        <v>11</v>
      </c>
      <c r="K11" s="1" t="s">
        <v>14</v>
      </c>
      <c r="R11" s="2" t="s">
        <v>84</v>
      </c>
      <c r="S11" s="10">
        <v>8.8999999999999996E-2</v>
      </c>
    </row>
    <row r="12" spans="1:22" ht="14.45" customHeight="1" x14ac:dyDescent="0.25">
      <c r="A12" s="6">
        <v>46235</v>
      </c>
      <c r="B12" s="7" t="s">
        <v>444</v>
      </c>
      <c r="C12" s="7" t="s">
        <v>22</v>
      </c>
      <c r="D12" s="7" t="s">
        <v>718</v>
      </c>
      <c r="F12" s="32" t="s">
        <v>618</v>
      </c>
      <c r="G12" s="32"/>
      <c r="H12" s="32"/>
      <c r="I12" s="32"/>
      <c r="J12" s="32"/>
      <c r="K12" s="32"/>
      <c r="R12" s="2" t="s">
        <v>115</v>
      </c>
      <c r="S12" s="8"/>
    </row>
    <row r="13" spans="1:22" x14ac:dyDescent="0.25">
      <c r="A13" s="6">
        <v>46237</v>
      </c>
      <c r="B13" s="7" t="s">
        <v>736</v>
      </c>
      <c r="C13" s="7" t="s">
        <v>22</v>
      </c>
      <c r="D13" s="7">
        <v>40</v>
      </c>
      <c r="F13" s="32"/>
      <c r="G13" s="32"/>
      <c r="H13" s="32"/>
      <c r="I13" s="32"/>
      <c r="J13" s="32"/>
      <c r="K13" s="32"/>
      <c r="R13" s="2" t="s">
        <v>11</v>
      </c>
      <c r="S13" s="8" t="s">
        <v>235</v>
      </c>
    </row>
    <row r="14" spans="1:22" x14ac:dyDescent="0.25">
      <c r="A14" s="6">
        <v>46238</v>
      </c>
      <c r="B14" s="7" t="s">
        <v>756</v>
      </c>
      <c r="C14" s="7" t="s">
        <v>63</v>
      </c>
      <c r="D14" s="7" t="s">
        <v>754</v>
      </c>
      <c r="F14" s="2" t="s">
        <v>0</v>
      </c>
      <c r="G14" s="6">
        <v>46226</v>
      </c>
      <c r="H14" s="2" t="s">
        <v>2</v>
      </c>
      <c r="I14" s="1" t="s">
        <v>22</v>
      </c>
      <c r="J14" s="2" t="s">
        <v>11</v>
      </c>
      <c r="K14" s="1" t="s">
        <v>14</v>
      </c>
      <c r="R14" s="2" t="s">
        <v>76</v>
      </c>
      <c r="S14" s="8" t="s">
        <v>238</v>
      </c>
    </row>
    <row r="15" spans="1:22" x14ac:dyDescent="0.25">
      <c r="A15" s="6">
        <v>46239</v>
      </c>
      <c r="B15" s="7" t="s">
        <v>776</v>
      </c>
      <c r="C15" s="7" t="s">
        <v>733</v>
      </c>
      <c r="D15" s="7" t="s">
        <v>777</v>
      </c>
      <c r="F15" s="32" t="s">
        <v>611</v>
      </c>
      <c r="G15" s="32"/>
      <c r="H15" s="32"/>
      <c r="I15" s="32"/>
      <c r="J15" s="32"/>
      <c r="K15" s="32"/>
      <c r="R15" s="2" t="s">
        <v>77</v>
      </c>
      <c r="S15" s="8"/>
    </row>
    <row r="16" spans="1:22" x14ac:dyDescent="0.25">
      <c r="A16" s="6">
        <v>46240</v>
      </c>
      <c r="B16" s="7" t="s">
        <v>782</v>
      </c>
      <c r="C16" s="7" t="s">
        <v>22</v>
      </c>
      <c r="D16" s="7" t="s">
        <v>783</v>
      </c>
      <c r="F16" s="32"/>
      <c r="G16" s="32"/>
      <c r="H16" s="32"/>
      <c r="I16" s="32"/>
      <c r="J16" s="32"/>
      <c r="K16" s="32"/>
      <c r="R16" s="2" t="s">
        <v>78</v>
      </c>
      <c r="S16" s="8" t="s">
        <v>101</v>
      </c>
    </row>
    <row r="17" spans="1:19" x14ac:dyDescent="0.25">
      <c r="A17" s="6">
        <v>46240</v>
      </c>
      <c r="B17" s="7" t="s">
        <v>776</v>
      </c>
      <c r="C17" s="7" t="s">
        <v>733</v>
      </c>
      <c r="D17" s="7" t="s">
        <v>777</v>
      </c>
      <c r="E17" s="27"/>
      <c r="F17" s="32"/>
      <c r="G17" s="32"/>
      <c r="H17" s="32"/>
      <c r="I17" s="32"/>
      <c r="J17" s="32"/>
      <c r="K17" s="32"/>
      <c r="R17" s="2" t="s">
        <v>92</v>
      </c>
      <c r="S17" s="8" t="s">
        <v>237</v>
      </c>
    </row>
    <row r="18" spans="1:19" x14ac:dyDescent="0.25">
      <c r="A18" s="6">
        <v>46243</v>
      </c>
      <c r="B18" s="7" t="s">
        <v>776</v>
      </c>
      <c r="C18" s="7" t="s">
        <v>733</v>
      </c>
      <c r="D18" s="7" t="s">
        <v>830</v>
      </c>
      <c r="F18" s="2" t="s">
        <v>0</v>
      </c>
      <c r="G18" s="6">
        <v>46227</v>
      </c>
      <c r="H18" s="2" t="s">
        <v>2</v>
      </c>
      <c r="I18" s="1" t="s">
        <v>15</v>
      </c>
      <c r="J18" s="2" t="s">
        <v>11</v>
      </c>
      <c r="K18" s="1" t="s">
        <v>14</v>
      </c>
      <c r="R18" s="2" t="s">
        <v>80</v>
      </c>
      <c r="S18" s="7" t="s">
        <v>166</v>
      </c>
    </row>
    <row r="19" spans="1:19" x14ac:dyDescent="0.25">
      <c r="A19" s="6">
        <v>46245</v>
      </c>
      <c r="B19" s="7" t="s">
        <v>866</v>
      </c>
      <c r="C19" s="7" t="s">
        <v>31</v>
      </c>
      <c r="D19" s="7" t="s">
        <v>56</v>
      </c>
      <c r="F19" s="32" t="s">
        <v>636</v>
      </c>
      <c r="G19" s="32"/>
      <c r="H19" s="32"/>
      <c r="I19" s="32"/>
      <c r="J19" s="32"/>
      <c r="K19" s="32"/>
      <c r="R19" s="2" t="s">
        <v>81</v>
      </c>
      <c r="S19" s="8"/>
    </row>
    <row r="20" spans="1:19" x14ac:dyDescent="0.25">
      <c r="A20" s="6">
        <v>46246</v>
      </c>
      <c r="B20" s="7" t="s">
        <v>874</v>
      </c>
      <c r="C20" s="7" t="s">
        <v>22</v>
      </c>
      <c r="D20" s="7" t="s">
        <v>56</v>
      </c>
      <c r="F20" s="32"/>
      <c r="G20" s="32"/>
      <c r="H20" s="32"/>
      <c r="I20" s="32"/>
      <c r="J20" s="32"/>
      <c r="K20" s="32"/>
      <c r="R20" s="2" t="s">
        <v>82</v>
      </c>
      <c r="S20" s="8">
        <f>S21+S22</f>
        <v>0.30480000000000002</v>
      </c>
    </row>
    <row r="21" spans="1:19" x14ac:dyDescent="0.25">
      <c r="A21" s="6">
        <v>46251</v>
      </c>
      <c r="B21" s="7" t="s">
        <v>919</v>
      </c>
      <c r="C21" s="7" t="s">
        <v>920</v>
      </c>
      <c r="D21" s="7" t="s">
        <v>56</v>
      </c>
      <c r="F21" s="32"/>
      <c r="G21" s="32"/>
      <c r="H21" s="32"/>
      <c r="I21" s="32"/>
      <c r="J21" s="32"/>
      <c r="K21" s="32"/>
      <c r="R21" s="2" t="s">
        <v>83</v>
      </c>
      <c r="S21" s="10">
        <f>0.2905+0.0024</f>
        <v>0.29289999999999999</v>
      </c>
    </row>
    <row r="22" spans="1:19" x14ac:dyDescent="0.25">
      <c r="A22" s="6">
        <v>46252</v>
      </c>
      <c r="B22" s="7" t="s">
        <v>8</v>
      </c>
      <c r="C22" s="7" t="s">
        <v>22</v>
      </c>
      <c r="D22" s="7" t="s">
        <v>918</v>
      </c>
      <c r="F22" s="2" t="s">
        <v>0</v>
      </c>
      <c r="G22" s="6">
        <v>46231</v>
      </c>
      <c r="H22" s="2" t="s">
        <v>2</v>
      </c>
      <c r="I22" s="1" t="s">
        <v>15</v>
      </c>
      <c r="J22" s="2" t="s">
        <v>11</v>
      </c>
      <c r="K22" s="1" t="s">
        <v>14</v>
      </c>
      <c r="R22" s="2" t="s">
        <v>84</v>
      </c>
      <c r="S22" s="10">
        <v>1.1900000000000001E-2</v>
      </c>
    </row>
    <row r="23" spans="1:19" x14ac:dyDescent="0.25">
      <c r="A23" s="6">
        <v>46253</v>
      </c>
      <c r="B23" s="7" t="s">
        <v>942</v>
      </c>
      <c r="C23" s="7" t="s">
        <v>47</v>
      </c>
      <c r="D23" s="7" t="s">
        <v>56</v>
      </c>
      <c r="F23" s="32" t="s">
        <v>689</v>
      </c>
      <c r="G23" s="32"/>
      <c r="H23" s="32"/>
      <c r="I23" s="32"/>
      <c r="J23" s="32"/>
      <c r="K23" s="32"/>
      <c r="R23" s="2" t="s">
        <v>115</v>
      </c>
      <c r="S23" s="8"/>
    </row>
    <row r="24" spans="1:19" x14ac:dyDescent="0.25">
      <c r="A24" s="6">
        <v>46253</v>
      </c>
      <c r="B24" s="7" t="s">
        <v>944</v>
      </c>
      <c r="C24" s="7" t="s">
        <v>47</v>
      </c>
      <c r="D24" s="7" t="s">
        <v>943</v>
      </c>
      <c r="F24" s="32"/>
      <c r="G24" s="32"/>
      <c r="H24" s="32"/>
      <c r="I24" s="32"/>
      <c r="J24" s="32"/>
      <c r="K24" s="32"/>
      <c r="R24" s="2" t="s">
        <v>11</v>
      </c>
      <c r="S24" s="8" t="s">
        <v>239</v>
      </c>
    </row>
    <row r="25" spans="1:19" x14ac:dyDescent="0.25">
      <c r="A25" s="6">
        <v>46256</v>
      </c>
      <c r="B25" s="7" t="s">
        <v>390</v>
      </c>
      <c r="C25" s="7" t="s">
        <v>63</v>
      </c>
      <c r="D25" s="7" t="s">
        <v>975</v>
      </c>
      <c r="F25" s="32"/>
      <c r="G25" s="32"/>
      <c r="H25" s="32"/>
      <c r="I25" s="32"/>
      <c r="J25" s="32"/>
      <c r="K25" s="32"/>
      <c r="R25" s="2" t="s">
        <v>76</v>
      </c>
      <c r="S25" s="8" t="s">
        <v>240</v>
      </c>
    </row>
    <row r="26" spans="1:19" x14ac:dyDescent="0.25">
      <c r="A26" s="6">
        <v>46265</v>
      </c>
      <c r="B26" s="7" t="s">
        <v>343</v>
      </c>
      <c r="C26" s="7" t="s">
        <v>344</v>
      </c>
      <c r="D26" s="7" t="s">
        <v>1029</v>
      </c>
      <c r="F26" s="2" t="s">
        <v>0</v>
      </c>
      <c r="G26" s="6">
        <v>46235</v>
      </c>
      <c r="H26" s="2" t="s">
        <v>2</v>
      </c>
      <c r="I26" s="1" t="s">
        <v>22</v>
      </c>
      <c r="J26" s="2" t="s">
        <v>11</v>
      </c>
      <c r="K26" s="1" t="s">
        <v>14</v>
      </c>
      <c r="R26" s="2" t="s">
        <v>77</v>
      </c>
      <c r="S26" s="8"/>
    </row>
    <row r="27" spans="1:19" x14ac:dyDescent="0.25">
      <c r="A27" s="6">
        <v>46266</v>
      </c>
      <c r="B27" s="7" t="s">
        <v>1031</v>
      </c>
      <c r="C27" s="7" t="s">
        <v>1033</v>
      </c>
      <c r="D27" s="7" t="s">
        <v>1036</v>
      </c>
      <c r="F27" s="32" t="s">
        <v>726</v>
      </c>
      <c r="G27" s="32"/>
      <c r="H27" s="32"/>
      <c r="I27" s="32"/>
      <c r="J27" s="32"/>
      <c r="K27" s="32"/>
      <c r="R27" s="2" t="s">
        <v>78</v>
      </c>
      <c r="S27" s="8" t="s">
        <v>101</v>
      </c>
    </row>
    <row r="28" spans="1:19" x14ac:dyDescent="0.25">
      <c r="A28" s="6">
        <v>46266</v>
      </c>
      <c r="B28" s="7" t="s">
        <v>1043</v>
      </c>
      <c r="C28" s="7" t="s">
        <v>47</v>
      </c>
      <c r="D28" s="7" t="s">
        <v>1054</v>
      </c>
      <c r="F28" s="32"/>
      <c r="G28" s="32"/>
      <c r="H28" s="32"/>
      <c r="I28" s="32"/>
      <c r="J28" s="32"/>
      <c r="K28" s="32"/>
      <c r="R28" s="2" t="s">
        <v>92</v>
      </c>
      <c r="S28" s="8" t="s">
        <v>237</v>
      </c>
    </row>
    <row r="29" spans="1:19" x14ac:dyDescent="0.25">
      <c r="A29" s="6">
        <v>46273</v>
      </c>
      <c r="B29" s="7" t="s">
        <v>1102</v>
      </c>
      <c r="C29" s="7" t="s">
        <v>16</v>
      </c>
      <c r="D29" s="7" t="s">
        <v>1092</v>
      </c>
      <c r="F29" s="32"/>
      <c r="G29" s="32"/>
      <c r="H29" s="32"/>
      <c r="I29" s="32"/>
      <c r="J29" s="32"/>
      <c r="K29" s="32"/>
      <c r="R29" s="2" t="s">
        <v>80</v>
      </c>
      <c r="S29" s="7" t="s">
        <v>166</v>
      </c>
    </row>
    <row r="30" spans="1:19" x14ac:dyDescent="0.25">
      <c r="A30" s="30">
        <v>46274</v>
      </c>
      <c r="B30" s="31" t="s">
        <v>1076</v>
      </c>
      <c r="C30" s="31" t="s">
        <v>31</v>
      </c>
      <c r="D30" s="31" t="s">
        <v>1112</v>
      </c>
      <c r="F30" s="2" t="s">
        <v>0</v>
      </c>
      <c r="G30" s="6">
        <v>46237</v>
      </c>
      <c r="H30" s="2" t="s">
        <v>2</v>
      </c>
      <c r="I30" s="1" t="s">
        <v>22</v>
      </c>
      <c r="J30" s="2" t="s">
        <v>11</v>
      </c>
      <c r="K30" s="1" t="s">
        <v>14</v>
      </c>
      <c r="R30" s="2" t="s">
        <v>81</v>
      </c>
      <c r="S30" s="8"/>
    </row>
    <row r="31" spans="1:19" x14ac:dyDescent="0.25">
      <c r="A31" s="6">
        <v>46276</v>
      </c>
      <c r="B31" s="7" t="s">
        <v>1031</v>
      </c>
      <c r="C31" s="7" t="s">
        <v>15</v>
      </c>
      <c r="D31" s="7" t="s">
        <v>1140</v>
      </c>
      <c r="F31" s="32" t="s">
        <v>739</v>
      </c>
      <c r="G31" s="32"/>
      <c r="H31" s="32"/>
      <c r="I31" s="32"/>
      <c r="J31" s="32"/>
      <c r="K31" s="32"/>
      <c r="R31" s="2" t="s">
        <v>82</v>
      </c>
      <c r="S31" s="8">
        <f>S32+S33</f>
        <v>0.24310000000000001</v>
      </c>
    </row>
    <row r="32" spans="1:19" x14ac:dyDescent="0.25">
      <c r="A32" s="6">
        <v>46279</v>
      </c>
      <c r="B32" s="7" t="s">
        <v>1154</v>
      </c>
      <c r="C32" s="7" t="s">
        <v>22</v>
      </c>
      <c r="D32" s="7" t="s">
        <v>56</v>
      </c>
      <c r="F32" s="32"/>
      <c r="G32" s="32"/>
      <c r="H32" s="32"/>
      <c r="I32" s="32"/>
      <c r="J32" s="32"/>
      <c r="K32" s="32"/>
      <c r="R32" s="2" t="s">
        <v>83</v>
      </c>
      <c r="S32" s="10">
        <f>0.1562+0.0799</f>
        <v>0.2361</v>
      </c>
    </row>
    <row r="33" spans="1:19" x14ac:dyDescent="0.25">
      <c r="A33" s="6">
        <v>46283</v>
      </c>
      <c r="B33" s="7" t="s">
        <v>1031</v>
      </c>
      <c r="C33" s="7" t="s">
        <v>22</v>
      </c>
      <c r="D33" s="7" t="s">
        <v>1140</v>
      </c>
      <c r="F33" s="32"/>
      <c r="G33" s="32"/>
      <c r="H33" s="32"/>
      <c r="I33" s="32"/>
      <c r="J33" s="32"/>
      <c r="K33" s="32"/>
      <c r="R33" s="2" t="s">
        <v>84</v>
      </c>
      <c r="S33" s="10">
        <v>7.0000000000000001E-3</v>
      </c>
    </row>
    <row r="34" spans="1:19" x14ac:dyDescent="0.25">
      <c r="A34" s="6">
        <v>46283</v>
      </c>
      <c r="B34" s="7" t="s">
        <v>343</v>
      </c>
      <c r="C34" s="7" t="s">
        <v>344</v>
      </c>
      <c r="D34" s="7" t="s">
        <v>1214</v>
      </c>
      <c r="F34" s="2" t="s">
        <v>0</v>
      </c>
      <c r="G34" s="6">
        <v>46238</v>
      </c>
      <c r="H34" s="2" t="s">
        <v>2</v>
      </c>
      <c r="I34" s="1" t="s">
        <v>15</v>
      </c>
      <c r="J34" s="2" t="s">
        <v>11</v>
      </c>
      <c r="K34" s="1" t="s">
        <v>14</v>
      </c>
      <c r="R34" s="2" t="s">
        <v>115</v>
      </c>
      <c r="S34" s="8"/>
    </row>
    <row r="35" spans="1:19" x14ac:dyDescent="0.25">
      <c r="A35" s="6">
        <v>46288</v>
      </c>
      <c r="B35" s="7" t="s">
        <v>1247</v>
      </c>
      <c r="C35" s="7" t="s">
        <v>47</v>
      </c>
      <c r="D35" s="7" t="s">
        <v>1248</v>
      </c>
      <c r="F35" s="32" t="s">
        <v>757</v>
      </c>
      <c r="G35" s="32"/>
      <c r="H35" s="32"/>
      <c r="I35" s="32"/>
      <c r="J35" s="32"/>
      <c r="K35" s="32"/>
      <c r="R35" s="2" t="s">
        <v>11</v>
      </c>
      <c r="S35" s="8" t="s">
        <v>241</v>
      </c>
    </row>
    <row r="36" spans="1:19" x14ac:dyDescent="0.25">
      <c r="A36" s="6">
        <v>46289</v>
      </c>
      <c r="B36" s="7" t="s">
        <v>1254</v>
      </c>
      <c r="C36" s="7" t="s">
        <v>22</v>
      </c>
      <c r="D36" s="7" t="s">
        <v>56</v>
      </c>
      <c r="F36" s="32"/>
      <c r="G36" s="32"/>
      <c r="H36" s="32"/>
      <c r="I36" s="32"/>
      <c r="J36" s="32"/>
      <c r="K36" s="32"/>
      <c r="R36" s="2" t="s">
        <v>76</v>
      </c>
      <c r="S36" s="8" t="s">
        <v>242</v>
      </c>
    </row>
    <row r="37" spans="1:19" x14ac:dyDescent="0.25">
      <c r="F37" s="32"/>
      <c r="G37" s="32"/>
      <c r="H37" s="32"/>
      <c r="I37" s="32"/>
      <c r="J37" s="32"/>
      <c r="K37" s="32"/>
      <c r="R37" s="2" t="s">
        <v>77</v>
      </c>
      <c r="S37" s="8"/>
    </row>
    <row r="38" spans="1:19" x14ac:dyDescent="0.25">
      <c r="F38" s="2" t="s">
        <v>0</v>
      </c>
      <c r="G38" s="6">
        <v>46239</v>
      </c>
      <c r="H38" s="2" t="s">
        <v>2</v>
      </c>
      <c r="I38" s="1" t="s">
        <v>774</v>
      </c>
      <c r="J38" s="2" t="s">
        <v>11</v>
      </c>
      <c r="K38" s="1" t="s">
        <v>14</v>
      </c>
      <c r="R38" s="2" t="s">
        <v>78</v>
      </c>
      <c r="S38" s="8" t="s">
        <v>101</v>
      </c>
    </row>
    <row r="39" spans="1:19" x14ac:dyDescent="0.25">
      <c r="F39" s="32" t="s">
        <v>775</v>
      </c>
      <c r="G39" s="32"/>
      <c r="H39" s="32"/>
      <c r="I39" s="32"/>
      <c r="J39" s="32"/>
      <c r="K39" s="32"/>
      <c r="R39" s="2" t="s">
        <v>92</v>
      </c>
      <c r="S39" s="8" t="s">
        <v>237</v>
      </c>
    </row>
    <row r="40" spans="1:19" x14ac:dyDescent="0.25">
      <c r="F40" s="32"/>
      <c r="G40" s="32"/>
      <c r="H40" s="32"/>
      <c r="I40" s="32"/>
      <c r="J40" s="32"/>
      <c r="K40" s="32"/>
      <c r="R40" s="2" t="s">
        <v>80</v>
      </c>
      <c r="S40" s="7" t="s">
        <v>166</v>
      </c>
    </row>
    <row r="41" spans="1:19" x14ac:dyDescent="0.25">
      <c r="F41" s="32"/>
      <c r="G41" s="32"/>
      <c r="H41" s="32"/>
      <c r="I41" s="32"/>
      <c r="J41" s="32"/>
      <c r="K41" s="32"/>
      <c r="R41" s="2" t="s">
        <v>81</v>
      </c>
      <c r="S41" s="8"/>
    </row>
    <row r="42" spans="1:19" x14ac:dyDescent="0.25">
      <c r="F42" s="2" t="s">
        <v>0</v>
      </c>
      <c r="G42" s="6">
        <v>46240</v>
      </c>
      <c r="H42" s="2" t="s">
        <v>2</v>
      </c>
      <c r="I42" s="1" t="s">
        <v>774</v>
      </c>
      <c r="J42" s="2" t="s">
        <v>11</v>
      </c>
      <c r="K42" s="1" t="s">
        <v>14</v>
      </c>
      <c r="R42" s="2" t="s">
        <v>82</v>
      </c>
      <c r="S42" s="8">
        <f>S43+S44</f>
        <v>0.1636</v>
      </c>
    </row>
    <row r="43" spans="1:19" x14ac:dyDescent="0.25">
      <c r="F43" s="32" t="s">
        <v>637</v>
      </c>
      <c r="G43" s="32"/>
      <c r="H43" s="32"/>
      <c r="I43" s="32"/>
      <c r="J43" s="32"/>
      <c r="K43" s="32"/>
      <c r="R43" s="2" t="s">
        <v>83</v>
      </c>
      <c r="S43" s="10">
        <v>0.1636</v>
      </c>
    </row>
    <row r="44" spans="1:19" x14ac:dyDescent="0.25">
      <c r="F44" s="32"/>
      <c r="G44" s="32"/>
      <c r="H44" s="32"/>
      <c r="I44" s="32"/>
      <c r="J44" s="32"/>
      <c r="K44" s="32"/>
      <c r="R44" s="2" t="s">
        <v>84</v>
      </c>
      <c r="S44" s="10">
        <v>0</v>
      </c>
    </row>
    <row r="45" spans="1:19" x14ac:dyDescent="0.25">
      <c r="F45" s="32"/>
      <c r="G45" s="32"/>
      <c r="H45" s="32"/>
      <c r="I45" s="32"/>
      <c r="J45" s="32"/>
      <c r="K45" s="32"/>
      <c r="R45" s="2" t="s">
        <v>115</v>
      </c>
      <c r="S45" s="8"/>
    </row>
    <row r="46" spans="1:19" x14ac:dyDescent="0.25">
      <c r="F46" s="2" t="s">
        <v>0</v>
      </c>
      <c r="G46" s="6">
        <v>46243</v>
      </c>
      <c r="H46" s="2" t="s">
        <v>2</v>
      </c>
      <c r="I46" s="1" t="s">
        <v>774</v>
      </c>
      <c r="J46" s="2" t="s">
        <v>11</v>
      </c>
      <c r="K46" s="1" t="s">
        <v>14</v>
      </c>
      <c r="R46" s="2" t="s">
        <v>11</v>
      </c>
      <c r="S46" s="8" t="s">
        <v>791</v>
      </c>
    </row>
    <row r="47" spans="1:19" ht="14.45" customHeight="1" x14ac:dyDescent="0.25">
      <c r="F47" s="32" t="s">
        <v>831</v>
      </c>
      <c r="G47" s="32"/>
      <c r="H47" s="32"/>
      <c r="I47" s="32"/>
      <c r="J47" s="32"/>
      <c r="K47" s="32"/>
      <c r="R47" s="2" t="s">
        <v>76</v>
      </c>
      <c r="S47" s="8" t="s">
        <v>792</v>
      </c>
    </row>
    <row r="48" spans="1:19" x14ac:dyDescent="0.25">
      <c r="F48" s="32"/>
      <c r="G48" s="32"/>
      <c r="H48" s="32"/>
      <c r="I48" s="32"/>
      <c r="J48" s="32"/>
      <c r="K48" s="32"/>
      <c r="R48" s="2" t="s">
        <v>77</v>
      </c>
      <c r="S48" s="8"/>
    </row>
    <row r="49" spans="6:19" x14ac:dyDescent="0.25">
      <c r="F49" s="32"/>
      <c r="G49" s="32"/>
      <c r="H49" s="32"/>
      <c r="I49" s="32"/>
      <c r="J49" s="32"/>
      <c r="K49" s="32"/>
      <c r="R49" s="2" t="s">
        <v>78</v>
      </c>
      <c r="S49" s="8" t="s">
        <v>101</v>
      </c>
    </row>
    <row r="50" spans="6:19" x14ac:dyDescent="0.25">
      <c r="F50" s="32"/>
      <c r="G50" s="32"/>
      <c r="H50" s="32"/>
      <c r="I50" s="32"/>
      <c r="J50" s="32"/>
      <c r="K50" s="32"/>
      <c r="R50" s="2" t="s">
        <v>92</v>
      </c>
      <c r="S50" s="8" t="s">
        <v>150</v>
      </c>
    </row>
    <row r="51" spans="6:19" x14ac:dyDescent="0.25">
      <c r="F51" s="2" t="s">
        <v>0</v>
      </c>
      <c r="G51" s="6">
        <v>46245</v>
      </c>
      <c r="H51" s="2" t="s">
        <v>2</v>
      </c>
      <c r="I51" s="1" t="s">
        <v>47</v>
      </c>
      <c r="J51" s="2" t="s">
        <v>11</v>
      </c>
      <c r="K51" s="1" t="s">
        <v>14</v>
      </c>
      <c r="R51" s="2" t="s">
        <v>80</v>
      </c>
      <c r="S51" s="8" t="s">
        <v>113</v>
      </c>
    </row>
    <row r="52" spans="6:19" x14ac:dyDescent="0.25">
      <c r="F52" s="32" t="s">
        <v>867</v>
      </c>
      <c r="G52" s="32"/>
      <c r="H52" s="32"/>
      <c r="I52" s="32"/>
      <c r="J52" s="32"/>
      <c r="K52" s="32"/>
      <c r="R52" s="2" t="s">
        <v>81</v>
      </c>
      <c r="S52" s="8"/>
    </row>
    <row r="53" spans="6:19" x14ac:dyDescent="0.25">
      <c r="F53" s="32"/>
      <c r="G53" s="32"/>
      <c r="H53" s="32"/>
      <c r="I53" s="32"/>
      <c r="J53" s="32"/>
      <c r="K53" s="32"/>
      <c r="R53" s="2" t="s">
        <v>82</v>
      </c>
      <c r="S53" s="8">
        <f>S54+S55</f>
        <v>0.35899999999999999</v>
      </c>
    </row>
    <row r="54" spans="6:19" x14ac:dyDescent="0.25">
      <c r="F54" s="32"/>
      <c r="G54" s="32"/>
      <c r="H54" s="32"/>
      <c r="I54" s="32"/>
      <c r="J54" s="32"/>
      <c r="K54" s="32"/>
      <c r="R54" s="2" t="s">
        <v>83</v>
      </c>
      <c r="S54" s="10">
        <v>0.33129999999999998</v>
      </c>
    </row>
    <row r="55" spans="6:19" x14ac:dyDescent="0.25">
      <c r="F55" s="32"/>
      <c r="G55" s="32"/>
      <c r="H55" s="32"/>
      <c r="I55" s="32"/>
      <c r="J55" s="32"/>
      <c r="K55" s="32"/>
      <c r="R55" s="2" t="s">
        <v>84</v>
      </c>
      <c r="S55" s="10">
        <v>2.7699999999999999E-2</v>
      </c>
    </row>
    <row r="56" spans="6:19" x14ac:dyDescent="0.25">
      <c r="F56" s="2" t="s">
        <v>0</v>
      </c>
      <c r="G56" s="6">
        <v>46246</v>
      </c>
      <c r="H56" s="2" t="s">
        <v>2</v>
      </c>
      <c r="I56" s="1" t="s">
        <v>22</v>
      </c>
      <c r="J56" s="2" t="s">
        <v>11</v>
      </c>
      <c r="K56" s="1" t="s">
        <v>14</v>
      </c>
      <c r="R56" s="2" t="s">
        <v>115</v>
      </c>
      <c r="S56" s="8">
        <v>2000</v>
      </c>
    </row>
    <row r="57" spans="6:19" x14ac:dyDescent="0.25">
      <c r="F57" s="32" t="s">
        <v>879</v>
      </c>
      <c r="G57" s="32"/>
      <c r="H57" s="32"/>
      <c r="I57" s="32"/>
      <c r="J57" s="32"/>
      <c r="K57" s="32"/>
      <c r="R57" s="2" t="s">
        <v>85</v>
      </c>
      <c r="S57" s="10">
        <f>S54+S43+S32+S21+S10</f>
        <v>1.1697</v>
      </c>
    </row>
    <row r="58" spans="6:19" x14ac:dyDescent="0.25">
      <c r="F58" s="32"/>
      <c r="G58" s="32"/>
      <c r="H58" s="32"/>
      <c r="I58" s="32"/>
      <c r="J58" s="32"/>
      <c r="K58" s="32"/>
      <c r="R58" s="2" t="s">
        <v>86</v>
      </c>
      <c r="S58" s="10">
        <f>S57*12.032</f>
        <v>14.0738304</v>
      </c>
    </row>
    <row r="59" spans="6:19" x14ac:dyDescent="0.25">
      <c r="F59" s="32"/>
      <c r="G59" s="32"/>
      <c r="H59" s="32"/>
      <c r="I59" s="32"/>
      <c r="J59" s="32"/>
      <c r="K59" s="32"/>
    </row>
    <row r="60" spans="6:19" x14ac:dyDescent="0.25">
      <c r="F60" s="32"/>
      <c r="G60" s="32"/>
      <c r="H60" s="32"/>
      <c r="I60" s="32"/>
      <c r="J60" s="32"/>
      <c r="K60" s="32"/>
    </row>
    <row r="61" spans="6:19" x14ac:dyDescent="0.25">
      <c r="F61" s="2" t="s">
        <v>0</v>
      </c>
      <c r="G61" s="6">
        <v>46252</v>
      </c>
      <c r="H61" s="2" t="s">
        <v>2</v>
      </c>
      <c r="I61" s="1" t="s">
        <v>774</v>
      </c>
      <c r="J61" s="2" t="s">
        <v>11</v>
      </c>
      <c r="K61" s="1" t="s">
        <v>14</v>
      </c>
    </row>
    <row r="62" spans="6:19" x14ac:dyDescent="0.25">
      <c r="F62" s="32" t="s">
        <v>921</v>
      </c>
      <c r="G62" s="32"/>
      <c r="H62" s="32"/>
      <c r="I62" s="32"/>
      <c r="J62" s="32"/>
      <c r="K62" s="32"/>
    </row>
    <row r="63" spans="6:19" x14ac:dyDescent="0.25">
      <c r="F63" s="32"/>
      <c r="G63" s="32"/>
      <c r="H63" s="32"/>
      <c r="I63" s="32"/>
      <c r="J63" s="32"/>
      <c r="K63" s="32"/>
    </row>
    <row r="64" spans="6:19" x14ac:dyDescent="0.25">
      <c r="F64" s="32"/>
      <c r="G64" s="32"/>
      <c r="H64" s="32"/>
      <c r="I64" s="32"/>
      <c r="J64" s="32"/>
      <c r="K64" s="32"/>
    </row>
    <row r="65" spans="6:11" x14ac:dyDescent="0.25">
      <c r="F65" s="2" t="s">
        <v>0</v>
      </c>
      <c r="G65" s="6">
        <v>46253</v>
      </c>
      <c r="H65" s="2" t="s">
        <v>2</v>
      </c>
      <c r="I65" s="1" t="s">
        <v>47</v>
      </c>
      <c r="J65" s="2" t="s">
        <v>11</v>
      </c>
      <c r="K65" s="1" t="s">
        <v>14</v>
      </c>
    </row>
    <row r="66" spans="6:11" x14ac:dyDescent="0.25">
      <c r="F66" s="32" t="s">
        <v>945</v>
      </c>
      <c r="G66" s="32"/>
      <c r="H66" s="32"/>
      <c r="I66" s="32"/>
      <c r="J66" s="32"/>
      <c r="K66" s="32"/>
    </row>
    <row r="67" spans="6:11" x14ac:dyDescent="0.25">
      <c r="F67" s="32"/>
      <c r="G67" s="32"/>
      <c r="H67" s="32"/>
      <c r="I67" s="32"/>
      <c r="J67" s="32"/>
      <c r="K67" s="32"/>
    </row>
    <row r="68" spans="6:11" x14ac:dyDescent="0.25">
      <c r="F68" s="32"/>
      <c r="G68" s="32"/>
      <c r="H68" s="32"/>
      <c r="I68" s="32"/>
      <c r="J68" s="32"/>
      <c r="K68" s="32"/>
    </row>
    <row r="69" spans="6:11" x14ac:dyDescent="0.25">
      <c r="F69" s="2" t="s">
        <v>0</v>
      </c>
      <c r="G69" s="6">
        <v>46264</v>
      </c>
      <c r="H69" s="2" t="s">
        <v>2</v>
      </c>
      <c r="I69" s="1" t="s">
        <v>16</v>
      </c>
      <c r="J69" s="2" t="s">
        <v>11</v>
      </c>
      <c r="K69" s="1" t="s">
        <v>14</v>
      </c>
    </row>
    <row r="70" spans="6:11" ht="14.45" customHeight="1" x14ac:dyDescent="0.25">
      <c r="F70" s="32" t="s">
        <v>1015</v>
      </c>
      <c r="G70" s="32"/>
      <c r="H70" s="32"/>
      <c r="I70" s="32"/>
      <c r="J70" s="32"/>
      <c r="K70" s="32"/>
    </row>
    <row r="71" spans="6:11" x14ac:dyDescent="0.25">
      <c r="F71" s="32"/>
      <c r="G71" s="32"/>
      <c r="H71" s="32"/>
      <c r="I71" s="32"/>
      <c r="J71" s="32"/>
      <c r="K71" s="32"/>
    </row>
    <row r="72" spans="6:11" x14ac:dyDescent="0.25">
      <c r="F72" s="32"/>
      <c r="G72" s="32"/>
      <c r="H72" s="32"/>
      <c r="I72" s="32"/>
      <c r="J72" s="32"/>
      <c r="K72" s="32"/>
    </row>
    <row r="73" spans="6:11" x14ac:dyDescent="0.25">
      <c r="F73" s="32"/>
      <c r="G73" s="32"/>
      <c r="H73" s="32"/>
      <c r="I73" s="32"/>
      <c r="J73" s="32"/>
      <c r="K73" s="32"/>
    </row>
    <row r="74" spans="6:11" x14ac:dyDescent="0.25">
      <c r="F74" s="2" t="s">
        <v>0</v>
      </c>
      <c r="G74" s="6">
        <v>46273</v>
      </c>
      <c r="H74" s="2" t="s">
        <v>2</v>
      </c>
      <c r="I74" s="1" t="s">
        <v>16</v>
      </c>
      <c r="J74" s="2" t="s">
        <v>11</v>
      </c>
      <c r="K74" s="1" t="s">
        <v>14</v>
      </c>
    </row>
    <row r="75" spans="6:11" ht="14.45" customHeight="1" x14ac:dyDescent="0.25">
      <c r="F75" s="32" t="s">
        <v>1103</v>
      </c>
      <c r="G75" s="32"/>
      <c r="H75" s="32"/>
      <c r="I75" s="32"/>
      <c r="J75" s="32"/>
      <c r="K75" s="32"/>
    </row>
    <row r="76" spans="6:11" x14ac:dyDescent="0.25">
      <c r="F76" s="32"/>
      <c r="G76" s="32"/>
      <c r="H76" s="32"/>
      <c r="I76" s="32"/>
      <c r="J76" s="32"/>
      <c r="K76" s="32"/>
    </row>
    <row r="77" spans="6:11" x14ac:dyDescent="0.25">
      <c r="F77" s="32"/>
      <c r="G77" s="32"/>
      <c r="H77" s="32"/>
      <c r="I77" s="32"/>
      <c r="J77" s="32"/>
      <c r="K77" s="32"/>
    </row>
    <row r="78" spans="6:11" x14ac:dyDescent="0.25">
      <c r="F78" s="2" t="s">
        <v>0</v>
      </c>
      <c r="G78" s="6">
        <v>46276</v>
      </c>
      <c r="H78" s="2" t="s">
        <v>2</v>
      </c>
      <c r="I78" s="1" t="s">
        <v>350</v>
      </c>
      <c r="J78" s="2" t="s">
        <v>11</v>
      </c>
      <c r="K78" s="1" t="s">
        <v>14</v>
      </c>
    </row>
    <row r="79" spans="6:11" ht="14.45" customHeight="1" x14ac:dyDescent="0.25">
      <c r="F79" s="32" t="s">
        <v>1143</v>
      </c>
      <c r="G79" s="32"/>
      <c r="H79" s="32"/>
      <c r="I79" s="32"/>
      <c r="J79" s="32"/>
      <c r="K79" s="32"/>
    </row>
    <row r="80" spans="6:11" x14ac:dyDescent="0.25">
      <c r="F80" s="32"/>
      <c r="G80" s="32"/>
      <c r="H80" s="32"/>
      <c r="I80" s="32"/>
      <c r="J80" s="32"/>
      <c r="K80" s="32"/>
    </row>
    <row r="81" spans="6:11" x14ac:dyDescent="0.25">
      <c r="F81" s="32"/>
      <c r="G81" s="32"/>
      <c r="H81" s="32"/>
      <c r="I81" s="32"/>
      <c r="J81" s="32"/>
      <c r="K81" s="32"/>
    </row>
    <row r="82" spans="6:11" x14ac:dyDescent="0.25">
      <c r="F82" s="32"/>
      <c r="G82" s="32"/>
      <c r="H82" s="32"/>
      <c r="I82" s="32"/>
      <c r="J82" s="32"/>
      <c r="K82" s="32"/>
    </row>
    <row r="83" spans="6:11" x14ac:dyDescent="0.25">
      <c r="F83" s="2" t="s">
        <v>0</v>
      </c>
      <c r="G83" s="6">
        <v>46279</v>
      </c>
      <c r="H83" s="2" t="s">
        <v>2</v>
      </c>
      <c r="I83" s="1" t="s">
        <v>350</v>
      </c>
      <c r="J83" s="2" t="s">
        <v>11</v>
      </c>
      <c r="K83" s="1" t="s">
        <v>14</v>
      </c>
    </row>
    <row r="84" spans="6:11" ht="14.45" customHeight="1" x14ac:dyDescent="0.25">
      <c r="F84" s="32" t="s">
        <v>1151</v>
      </c>
      <c r="G84" s="32"/>
      <c r="H84" s="32"/>
      <c r="I84" s="32"/>
      <c r="J84" s="32"/>
      <c r="K84" s="32"/>
    </row>
    <row r="85" spans="6:11" x14ac:dyDescent="0.25">
      <c r="F85" s="32"/>
      <c r="G85" s="32"/>
      <c r="H85" s="32"/>
      <c r="I85" s="32"/>
      <c r="J85" s="32"/>
      <c r="K85" s="32"/>
    </row>
    <row r="86" spans="6:11" x14ac:dyDescent="0.25">
      <c r="F86" s="32"/>
      <c r="G86" s="32"/>
      <c r="H86" s="32"/>
      <c r="I86" s="32"/>
      <c r="J86" s="32"/>
      <c r="K86" s="32"/>
    </row>
    <row r="87" spans="6:11" x14ac:dyDescent="0.25">
      <c r="F87" s="32"/>
      <c r="G87" s="32"/>
      <c r="H87" s="32"/>
      <c r="I87" s="32"/>
      <c r="J87" s="32"/>
      <c r="K87" s="32"/>
    </row>
    <row r="88" spans="6:11" x14ac:dyDescent="0.25">
      <c r="F88" s="32"/>
      <c r="G88" s="32"/>
      <c r="H88" s="32"/>
      <c r="I88" s="32"/>
      <c r="J88" s="32"/>
      <c r="K88" s="32"/>
    </row>
    <row r="89" spans="6:11" x14ac:dyDescent="0.25">
      <c r="F89" s="2" t="s">
        <v>0</v>
      </c>
      <c r="G89" s="6">
        <v>46282</v>
      </c>
      <c r="H89" s="2" t="s">
        <v>2</v>
      </c>
      <c r="I89" s="1" t="s">
        <v>22</v>
      </c>
      <c r="J89" s="2" t="s">
        <v>11</v>
      </c>
      <c r="K89" s="1" t="s">
        <v>14</v>
      </c>
    </row>
    <row r="90" spans="6:11" x14ac:dyDescent="0.25">
      <c r="F90" s="32" t="s">
        <v>1183</v>
      </c>
      <c r="G90" s="32"/>
      <c r="H90" s="32"/>
      <c r="I90" s="32"/>
      <c r="J90" s="32"/>
      <c r="K90" s="32"/>
    </row>
    <row r="91" spans="6:11" x14ac:dyDescent="0.25">
      <c r="F91" s="32"/>
      <c r="G91" s="32"/>
      <c r="H91" s="32"/>
      <c r="I91" s="32"/>
      <c r="J91" s="32"/>
      <c r="K91" s="32"/>
    </row>
    <row r="92" spans="6:11" x14ac:dyDescent="0.25">
      <c r="F92" s="32"/>
      <c r="G92" s="32"/>
      <c r="H92" s="32"/>
      <c r="I92" s="32"/>
      <c r="J92" s="32"/>
      <c r="K92" s="32"/>
    </row>
    <row r="93" spans="6:11" x14ac:dyDescent="0.25">
      <c r="F93" s="2" t="s">
        <v>0</v>
      </c>
      <c r="G93" s="6">
        <v>46283</v>
      </c>
      <c r="H93" s="2" t="s">
        <v>2</v>
      </c>
      <c r="I93" s="1" t="s">
        <v>22</v>
      </c>
      <c r="J93" s="2" t="s">
        <v>11</v>
      </c>
      <c r="K93" s="1" t="s">
        <v>14</v>
      </c>
    </row>
    <row r="94" spans="6:11" x14ac:dyDescent="0.25">
      <c r="F94" s="32" t="s">
        <v>1196</v>
      </c>
      <c r="G94" s="32"/>
      <c r="H94" s="32"/>
      <c r="I94" s="32"/>
      <c r="J94" s="32"/>
      <c r="K94" s="32"/>
    </row>
    <row r="95" spans="6:11" x14ac:dyDescent="0.25">
      <c r="F95" s="32"/>
      <c r="G95" s="32"/>
      <c r="H95" s="32"/>
      <c r="I95" s="32"/>
      <c r="J95" s="32"/>
      <c r="K95" s="32"/>
    </row>
    <row r="96" spans="6:11" x14ac:dyDescent="0.25">
      <c r="F96" s="32"/>
      <c r="G96" s="32"/>
      <c r="H96" s="32"/>
      <c r="I96" s="32"/>
      <c r="J96" s="32"/>
      <c r="K96" s="32"/>
    </row>
    <row r="97" spans="6:11" x14ac:dyDescent="0.25">
      <c r="F97" s="2" t="s">
        <v>0</v>
      </c>
      <c r="G97" s="6">
        <v>46285</v>
      </c>
      <c r="H97" s="2" t="s">
        <v>2</v>
      </c>
      <c r="I97" s="1" t="s">
        <v>35</v>
      </c>
      <c r="J97" s="2" t="s">
        <v>11</v>
      </c>
      <c r="K97" s="1" t="s">
        <v>14</v>
      </c>
    </row>
    <row r="98" spans="6:11" ht="14.45" customHeight="1" x14ac:dyDescent="0.25">
      <c r="F98" s="32" t="s">
        <v>1223</v>
      </c>
      <c r="G98" s="32"/>
      <c r="H98" s="32"/>
      <c r="I98" s="32"/>
      <c r="J98" s="32"/>
      <c r="K98" s="32"/>
    </row>
    <row r="99" spans="6:11" x14ac:dyDescent="0.25">
      <c r="F99" s="32"/>
      <c r="G99" s="32"/>
      <c r="H99" s="32"/>
      <c r="I99" s="32"/>
      <c r="J99" s="32"/>
      <c r="K99" s="32"/>
    </row>
    <row r="100" spans="6:11" x14ac:dyDescent="0.25">
      <c r="F100" s="32"/>
      <c r="G100" s="32"/>
      <c r="H100" s="32"/>
      <c r="I100" s="32"/>
      <c r="J100" s="32"/>
      <c r="K100" s="32"/>
    </row>
    <row r="101" spans="6:11" x14ac:dyDescent="0.25">
      <c r="F101" s="32"/>
      <c r="G101" s="32"/>
      <c r="H101" s="32"/>
      <c r="I101" s="32"/>
      <c r="J101" s="32"/>
      <c r="K101" s="32"/>
    </row>
    <row r="102" spans="6:11" x14ac:dyDescent="0.25">
      <c r="F102" s="32"/>
      <c r="G102" s="32"/>
      <c r="H102" s="32"/>
      <c r="I102" s="32"/>
      <c r="J102" s="32"/>
      <c r="K102" s="32"/>
    </row>
    <row r="103" spans="6:11" x14ac:dyDescent="0.25">
      <c r="F103" s="2" t="s">
        <v>0</v>
      </c>
      <c r="G103" s="6">
        <v>46287</v>
      </c>
      <c r="H103" s="2" t="s">
        <v>2</v>
      </c>
      <c r="I103" s="1" t="s">
        <v>47</v>
      </c>
      <c r="J103" s="2" t="s">
        <v>11</v>
      </c>
      <c r="K103" s="1" t="s">
        <v>14</v>
      </c>
    </row>
    <row r="104" spans="6:11" x14ac:dyDescent="0.25">
      <c r="F104" s="32" t="s">
        <v>1240</v>
      </c>
      <c r="G104" s="32"/>
      <c r="H104" s="32"/>
      <c r="I104" s="32"/>
      <c r="J104" s="32"/>
      <c r="K104" s="32"/>
    </row>
    <row r="105" spans="6:11" x14ac:dyDescent="0.25">
      <c r="F105" s="32"/>
      <c r="G105" s="32"/>
      <c r="H105" s="32"/>
      <c r="I105" s="32"/>
      <c r="J105" s="32"/>
      <c r="K105" s="32"/>
    </row>
    <row r="106" spans="6:11" x14ac:dyDescent="0.25">
      <c r="F106" s="32"/>
      <c r="G106" s="32"/>
      <c r="H106" s="32"/>
      <c r="I106" s="32"/>
      <c r="J106" s="32"/>
      <c r="K106" s="32"/>
    </row>
    <row r="107" spans="6:11" x14ac:dyDescent="0.25">
      <c r="F107" s="32"/>
      <c r="G107" s="32"/>
      <c r="H107" s="32"/>
      <c r="I107" s="32"/>
      <c r="J107" s="32"/>
      <c r="K107" s="32"/>
    </row>
    <row r="108" spans="6:11" x14ac:dyDescent="0.25">
      <c r="F108" s="32"/>
      <c r="G108" s="32"/>
      <c r="H108" s="32"/>
      <c r="I108" s="32"/>
      <c r="J108" s="32"/>
      <c r="K108" s="32"/>
    </row>
    <row r="109" spans="6:11" x14ac:dyDescent="0.25">
      <c r="F109" s="2" t="s">
        <v>0</v>
      </c>
      <c r="G109" s="6">
        <v>46288</v>
      </c>
      <c r="H109" s="2" t="s">
        <v>2</v>
      </c>
      <c r="I109" s="1" t="s">
        <v>47</v>
      </c>
      <c r="J109" s="2" t="s">
        <v>11</v>
      </c>
      <c r="K109" s="1" t="s">
        <v>14</v>
      </c>
    </row>
    <row r="110" spans="6:11" x14ac:dyDescent="0.25">
      <c r="F110" s="32" t="s">
        <v>1249</v>
      </c>
      <c r="G110" s="32"/>
      <c r="H110" s="32"/>
      <c r="I110" s="32"/>
      <c r="J110" s="32"/>
      <c r="K110" s="32"/>
    </row>
    <row r="111" spans="6:11" x14ac:dyDescent="0.25">
      <c r="F111" s="32"/>
      <c r="G111" s="32"/>
      <c r="H111" s="32"/>
      <c r="I111" s="32"/>
      <c r="J111" s="32"/>
      <c r="K111" s="32"/>
    </row>
    <row r="112" spans="6:11" x14ac:dyDescent="0.25">
      <c r="F112" s="32"/>
      <c r="G112" s="32"/>
      <c r="H112" s="32"/>
      <c r="I112" s="32"/>
      <c r="J112" s="32"/>
      <c r="K112" s="32"/>
    </row>
    <row r="113" spans="6:11" x14ac:dyDescent="0.25">
      <c r="F113" s="2" t="s">
        <v>0</v>
      </c>
      <c r="G113" s="6">
        <v>46289</v>
      </c>
      <c r="H113" s="2" t="s">
        <v>2</v>
      </c>
      <c r="I113" s="1" t="s">
        <v>22</v>
      </c>
      <c r="J113" s="2" t="s">
        <v>11</v>
      </c>
      <c r="K113" s="1" t="s">
        <v>14</v>
      </c>
    </row>
    <row r="114" spans="6:11" x14ac:dyDescent="0.25">
      <c r="F114" s="45" t="s">
        <v>637</v>
      </c>
      <c r="G114" s="45"/>
      <c r="H114" s="45"/>
      <c r="I114" s="45"/>
      <c r="J114" s="45"/>
      <c r="K114" s="45"/>
    </row>
  </sheetData>
  <mergeCells count="31">
    <mergeCell ref="F110:K112"/>
    <mergeCell ref="F39:K41"/>
    <mergeCell ref="F27:K29"/>
    <mergeCell ref="F35:K37"/>
    <mergeCell ref="F31:K33"/>
    <mergeCell ref="F98:K102"/>
    <mergeCell ref="F70:K73"/>
    <mergeCell ref="F66:K68"/>
    <mergeCell ref="F79:K82"/>
    <mergeCell ref="F75:K77"/>
    <mergeCell ref="F94:K96"/>
    <mergeCell ref="F90:K92"/>
    <mergeCell ref="F84:K88"/>
    <mergeCell ref="F57:K60"/>
    <mergeCell ref="F52:K55"/>
    <mergeCell ref="F114:K114"/>
    <mergeCell ref="F62:K64"/>
    <mergeCell ref="U1:V1"/>
    <mergeCell ref="F6:K7"/>
    <mergeCell ref="M1:P1"/>
    <mergeCell ref="R1:S1"/>
    <mergeCell ref="F1:K1"/>
    <mergeCell ref="F3:K4"/>
    <mergeCell ref="F9:K10"/>
    <mergeCell ref="F47:K50"/>
    <mergeCell ref="F23:K25"/>
    <mergeCell ref="F12:K13"/>
    <mergeCell ref="F15:K17"/>
    <mergeCell ref="F19:K21"/>
    <mergeCell ref="F43:K45"/>
    <mergeCell ref="F104:K10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07C21-798C-4A53-ABE3-21DA6678C76D}">
  <dimension ref="A1:X127"/>
  <sheetViews>
    <sheetView topLeftCell="A101" workbookViewId="0">
      <selection activeCell="F126" sqref="F126:K127"/>
    </sheetView>
  </sheetViews>
  <sheetFormatPr baseColWidth="10" defaultRowHeight="15" x14ac:dyDescent="0.25"/>
  <cols>
    <col min="1" max="1" width="11.5703125" style="7"/>
    <col min="2" max="2" width="45.140625" style="7" bestFit="1" customWidth="1"/>
    <col min="3" max="3" width="11.5703125" style="7"/>
    <col min="4" max="4" width="28.140625" style="7" bestFit="1" customWidth="1"/>
    <col min="13" max="13" width="12.42578125" bestFit="1" customWidth="1"/>
    <col min="20" max="20" width="21.28515625" bestFit="1" customWidth="1"/>
    <col min="21" max="21" width="19.42578125" bestFit="1" customWidth="1"/>
    <col min="23" max="23" width="11.5703125" style="7"/>
    <col min="24" max="24" width="15" style="7" bestFit="1" customWidth="1"/>
  </cols>
  <sheetData>
    <row r="1" spans="1:24" x14ac:dyDescent="0.25">
      <c r="A1" s="3" t="s">
        <v>0</v>
      </c>
      <c r="B1" s="3" t="s">
        <v>1</v>
      </c>
      <c r="C1" s="3" t="s">
        <v>2</v>
      </c>
      <c r="D1" s="3" t="s">
        <v>3</v>
      </c>
      <c r="F1" s="36" t="s">
        <v>4</v>
      </c>
      <c r="G1" s="36"/>
      <c r="H1" s="36"/>
      <c r="I1" s="36"/>
      <c r="J1" s="36"/>
      <c r="K1" s="36"/>
      <c r="M1" s="36" t="s">
        <v>5</v>
      </c>
      <c r="N1" s="36"/>
      <c r="O1" s="36"/>
      <c r="P1" s="36"/>
      <c r="Q1" s="36"/>
      <c r="R1" s="36"/>
      <c r="T1" s="34" t="s">
        <v>7</v>
      </c>
      <c r="U1" s="35"/>
      <c r="W1" s="33" t="s">
        <v>87</v>
      </c>
      <c r="X1" s="33"/>
    </row>
    <row r="2" spans="1:24" ht="14.45" customHeight="1" x14ac:dyDescent="0.25">
      <c r="A2" s="6">
        <v>46196</v>
      </c>
      <c r="B2" s="7" t="s">
        <v>48</v>
      </c>
      <c r="C2" s="7" t="s">
        <v>47</v>
      </c>
      <c r="D2" s="7" t="s">
        <v>49</v>
      </c>
      <c r="F2" s="2" t="s">
        <v>0</v>
      </c>
      <c r="G2" s="4">
        <v>46196</v>
      </c>
      <c r="H2" s="2" t="s">
        <v>2</v>
      </c>
      <c r="I2" s="1" t="s">
        <v>47</v>
      </c>
      <c r="J2" s="2" t="s">
        <v>11</v>
      </c>
      <c r="K2" s="1" t="s">
        <v>14</v>
      </c>
      <c r="M2" s="16" t="s">
        <v>0</v>
      </c>
      <c r="N2" s="4">
        <v>46093</v>
      </c>
      <c r="O2" s="22" t="s">
        <v>6</v>
      </c>
      <c r="P2" s="18" t="s">
        <v>282</v>
      </c>
      <c r="Q2" s="11" t="s">
        <v>11</v>
      </c>
      <c r="R2" s="8" t="s">
        <v>316</v>
      </c>
      <c r="T2" s="2" t="s">
        <v>11</v>
      </c>
      <c r="U2" s="8" t="s">
        <v>243</v>
      </c>
      <c r="W2" s="3" t="s">
        <v>0</v>
      </c>
      <c r="X2" s="3" t="s">
        <v>88</v>
      </c>
    </row>
    <row r="3" spans="1:24" x14ac:dyDescent="0.25">
      <c r="A3" s="6">
        <v>46204</v>
      </c>
      <c r="B3" s="7" t="s">
        <v>364</v>
      </c>
      <c r="C3" s="7" t="s">
        <v>22</v>
      </c>
      <c r="D3" s="7" t="s">
        <v>56</v>
      </c>
      <c r="F3" s="32" t="s">
        <v>75</v>
      </c>
      <c r="G3" s="32"/>
      <c r="H3" s="32"/>
      <c r="I3" s="32"/>
      <c r="J3" s="32"/>
      <c r="K3" s="32"/>
      <c r="M3" s="15" t="s">
        <v>283</v>
      </c>
      <c r="N3" s="3" t="s">
        <v>315</v>
      </c>
      <c r="O3" s="5"/>
      <c r="T3" s="2" t="s">
        <v>76</v>
      </c>
      <c r="U3" s="8" t="s">
        <v>244</v>
      </c>
    </row>
    <row r="4" spans="1:24" x14ac:dyDescent="0.25">
      <c r="A4" s="6">
        <v>46210</v>
      </c>
      <c r="B4" s="7" t="s">
        <v>30</v>
      </c>
      <c r="C4" s="7" t="s">
        <v>31</v>
      </c>
      <c r="D4" s="7" t="s">
        <v>446</v>
      </c>
      <c r="F4" s="32"/>
      <c r="G4" s="32"/>
      <c r="H4" s="32"/>
      <c r="I4" s="32"/>
      <c r="J4" s="32"/>
      <c r="K4" s="32"/>
      <c r="M4" s="15" t="s">
        <v>284</v>
      </c>
      <c r="N4" s="12" t="s">
        <v>314</v>
      </c>
      <c r="O4" s="12" t="s">
        <v>318</v>
      </c>
      <c r="T4" s="2" t="s">
        <v>77</v>
      </c>
      <c r="U4" s="8"/>
    </row>
    <row r="5" spans="1:24" x14ac:dyDescent="0.25">
      <c r="A5" s="6">
        <v>46210</v>
      </c>
      <c r="B5" s="7" t="s">
        <v>381</v>
      </c>
      <c r="C5" s="7" t="s">
        <v>448</v>
      </c>
      <c r="D5" s="7" t="s">
        <v>449</v>
      </c>
      <c r="F5" s="2" t="s">
        <v>0</v>
      </c>
      <c r="G5" s="4">
        <v>46204</v>
      </c>
      <c r="H5" s="2" t="s">
        <v>2</v>
      </c>
      <c r="I5" s="1" t="s">
        <v>22</v>
      </c>
      <c r="J5" s="2" t="s">
        <v>11</v>
      </c>
      <c r="K5" s="1" t="s">
        <v>360</v>
      </c>
      <c r="M5" s="11" t="s">
        <v>285</v>
      </c>
      <c r="N5" s="23">
        <v>1.21</v>
      </c>
      <c r="O5" s="25" t="s">
        <v>56</v>
      </c>
      <c r="T5" s="2" t="s">
        <v>78</v>
      </c>
      <c r="U5" s="8" t="s">
        <v>101</v>
      </c>
    </row>
    <row r="6" spans="1:24" ht="14.45" customHeight="1" x14ac:dyDescent="0.25">
      <c r="A6" s="6">
        <v>46210</v>
      </c>
      <c r="B6" s="7" t="s">
        <v>444</v>
      </c>
      <c r="C6" s="7" t="s">
        <v>22</v>
      </c>
      <c r="D6" s="7" t="s">
        <v>445</v>
      </c>
      <c r="F6" s="32" t="s">
        <v>361</v>
      </c>
      <c r="G6" s="32"/>
      <c r="H6" s="32"/>
      <c r="I6" s="32"/>
      <c r="J6" s="32"/>
      <c r="K6" s="32"/>
      <c r="M6" s="11" t="s">
        <v>286</v>
      </c>
      <c r="N6" s="24">
        <v>8.3000000000000007</v>
      </c>
      <c r="O6" s="26" t="s">
        <v>319</v>
      </c>
      <c r="T6" s="2" t="s">
        <v>92</v>
      </c>
      <c r="U6" s="8" t="s">
        <v>112</v>
      </c>
    </row>
    <row r="7" spans="1:24" x14ac:dyDescent="0.25">
      <c r="A7" s="6">
        <v>46210</v>
      </c>
      <c r="B7" s="7" t="s">
        <v>450</v>
      </c>
      <c r="C7" s="7" t="s">
        <v>22</v>
      </c>
      <c r="D7" s="7" t="s">
        <v>56</v>
      </c>
      <c r="F7" s="32"/>
      <c r="G7" s="32"/>
      <c r="H7" s="32"/>
      <c r="I7" s="32"/>
      <c r="J7" s="32"/>
      <c r="K7" s="32"/>
      <c r="M7" s="11" t="s">
        <v>287</v>
      </c>
      <c r="N7" s="8">
        <v>0.2</v>
      </c>
      <c r="O7" s="7" t="s">
        <v>320</v>
      </c>
      <c r="T7" s="2" t="s">
        <v>80</v>
      </c>
      <c r="U7" s="8" t="s">
        <v>113</v>
      </c>
    </row>
    <row r="8" spans="1:24" x14ac:dyDescent="0.25">
      <c r="A8" s="6">
        <v>46214</v>
      </c>
      <c r="B8" s="7" t="s">
        <v>381</v>
      </c>
      <c r="C8" s="7" t="s">
        <v>47</v>
      </c>
      <c r="D8" s="7" t="s">
        <v>502</v>
      </c>
      <c r="F8" s="32"/>
      <c r="G8" s="32"/>
      <c r="H8" s="32"/>
      <c r="I8" s="32"/>
      <c r="J8" s="32"/>
      <c r="K8" s="32"/>
      <c r="M8" s="11" t="s">
        <v>288</v>
      </c>
      <c r="N8" s="8">
        <v>1.51</v>
      </c>
      <c r="O8" s="25" t="s">
        <v>319</v>
      </c>
      <c r="T8" s="2" t="s">
        <v>81</v>
      </c>
      <c r="U8" s="8"/>
    </row>
    <row r="9" spans="1:24" x14ac:dyDescent="0.25">
      <c r="A9" s="6">
        <v>46221</v>
      </c>
      <c r="B9" s="7" t="s">
        <v>381</v>
      </c>
      <c r="C9" s="7" t="s">
        <v>47</v>
      </c>
      <c r="D9" s="7" t="s">
        <v>635</v>
      </c>
      <c r="F9" s="2" t="s">
        <v>0</v>
      </c>
      <c r="G9" s="4">
        <v>46204</v>
      </c>
      <c r="H9" s="2" t="s">
        <v>2</v>
      </c>
      <c r="I9" s="1" t="s">
        <v>22</v>
      </c>
      <c r="J9" s="2" t="s">
        <v>11</v>
      </c>
      <c r="K9" s="1" t="s">
        <v>362</v>
      </c>
      <c r="M9" s="11" t="s">
        <v>289</v>
      </c>
      <c r="N9" s="23">
        <v>2.6</v>
      </c>
      <c r="O9" s="25" t="s">
        <v>319</v>
      </c>
      <c r="T9" s="2" t="s">
        <v>82</v>
      </c>
      <c r="U9" s="8">
        <f>U10+U11</f>
        <v>0.33339999999999997</v>
      </c>
    </row>
    <row r="10" spans="1:24" x14ac:dyDescent="0.25">
      <c r="A10" s="6">
        <v>46224</v>
      </c>
      <c r="B10" s="7" t="s">
        <v>381</v>
      </c>
      <c r="C10" s="7" t="s">
        <v>350</v>
      </c>
      <c r="D10" s="7" t="s">
        <v>582</v>
      </c>
      <c r="F10" s="32" t="s">
        <v>363</v>
      </c>
      <c r="G10" s="32"/>
      <c r="H10" s="32"/>
      <c r="I10" s="32"/>
      <c r="J10" s="32"/>
      <c r="K10" s="32"/>
      <c r="M10" s="11" t="s">
        <v>290</v>
      </c>
      <c r="N10" s="23">
        <v>18</v>
      </c>
      <c r="O10" s="25" t="s">
        <v>321</v>
      </c>
      <c r="T10" s="2" t="s">
        <v>83</v>
      </c>
      <c r="U10" s="10">
        <v>0.33339999999999997</v>
      </c>
    </row>
    <row r="11" spans="1:24" x14ac:dyDescent="0.25">
      <c r="A11" s="6">
        <v>46225</v>
      </c>
      <c r="B11" s="7" t="s">
        <v>381</v>
      </c>
      <c r="C11" s="7" t="s">
        <v>350</v>
      </c>
      <c r="D11" s="7" t="s">
        <v>582</v>
      </c>
      <c r="F11" s="32"/>
      <c r="G11" s="32"/>
      <c r="H11" s="32"/>
      <c r="I11" s="32"/>
      <c r="J11" s="32"/>
      <c r="K11" s="32"/>
      <c r="M11" s="11" t="s">
        <v>291</v>
      </c>
      <c r="N11" s="8">
        <v>3.9</v>
      </c>
      <c r="O11" s="7" t="s">
        <v>320</v>
      </c>
      <c r="T11" s="2" t="s">
        <v>84</v>
      </c>
      <c r="U11" s="10">
        <v>0</v>
      </c>
    </row>
    <row r="12" spans="1:24" x14ac:dyDescent="0.25">
      <c r="A12" s="6">
        <v>46227</v>
      </c>
      <c r="B12" s="7" t="s">
        <v>381</v>
      </c>
      <c r="C12" s="7" t="s">
        <v>350</v>
      </c>
      <c r="D12" s="7" t="s">
        <v>634</v>
      </c>
      <c r="F12" s="32"/>
      <c r="G12" s="32"/>
      <c r="H12" s="32"/>
      <c r="I12" s="32"/>
      <c r="J12" s="32"/>
      <c r="K12" s="32"/>
      <c r="M12" s="11" t="s">
        <v>292</v>
      </c>
      <c r="N12" s="23">
        <v>0.16</v>
      </c>
      <c r="O12" s="25" t="s">
        <v>319</v>
      </c>
      <c r="T12" s="2" t="s">
        <v>115</v>
      </c>
      <c r="U12" s="8"/>
    </row>
    <row r="13" spans="1:24" x14ac:dyDescent="0.25">
      <c r="A13" s="6">
        <v>46228</v>
      </c>
      <c r="B13" s="7" t="s">
        <v>644</v>
      </c>
      <c r="C13" s="7" t="s">
        <v>47</v>
      </c>
      <c r="D13" s="7" t="s">
        <v>14</v>
      </c>
      <c r="F13" s="2" t="s">
        <v>0</v>
      </c>
      <c r="G13" s="4">
        <v>46207</v>
      </c>
      <c r="H13" s="2" t="s">
        <v>2</v>
      </c>
      <c r="I13" s="1" t="s">
        <v>47</v>
      </c>
      <c r="J13" s="2" t="s">
        <v>11</v>
      </c>
      <c r="K13" s="1" t="s">
        <v>14</v>
      </c>
      <c r="M13" s="11" t="s">
        <v>293</v>
      </c>
      <c r="N13" s="24">
        <v>23</v>
      </c>
      <c r="O13" s="26" t="s">
        <v>322</v>
      </c>
      <c r="T13" s="2" t="s">
        <v>11</v>
      </c>
      <c r="U13" s="8" t="s">
        <v>245</v>
      </c>
    </row>
    <row r="14" spans="1:24" x14ac:dyDescent="0.25">
      <c r="A14" s="6">
        <v>46228</v>
      </c>
      <c r="B14" s="7" t="s">
        <v>645</v>
      </c>
      <c r="C14" s="7" t="s">
        <v>47</v>
      </c>
      <c r="D14" s="7" t="s">
        <v>316</v>
      </c>
      <c r="F14" s="32" t="s">
        <v>423</v>
      </c>
      <c r="G14" s="32"/>
      <c r="H14" s="32"/>
      <c r="I14" s="32"/>
      <c r="J14" s="32"/>
      <c r="K14" s="32"/>
      <c r="M14" s="11" t="s">
        <v>294</v>
      </c>
      <c r="N14" s="8">
        <v>22.5</v>
      </c>
      <c r="O14" s="7" t="s">
        <v>322</v>
      </c>
      <c r="T14" s="2" t="s">
        <v>76</v>
      </c>
      <c r="U14" s="8" t="s">
        <v>246</v>
      </c>
    </row>
    <row r="15" spans="1:24" x14ac:dyDescent="0.25">
      <c r="A15" s="6">
        <v>46230</v>
      </c>
      <c r="B15" s="7" t="s">
        <v>30</v>
      </c>
      <c r="C15" s="7" t="s">
        <v>31</v>
      </c>
      <c r="D15" s="7" t="s">
        <v>663</v>
      </c>
      <c r="F15" s="32"/>
      <c r="G15" s="32"/>
      <c r="H15" s="32"/>
      <c r="I15" s="32"/>
      <c r="J15" s="32"/>
      <c r="K15" s="32"/>
      <c r="M15" s="11" t="s">
        <v>295</v>
      </c>
      <c r="N15" s="8">
        <v>391</v>
      </c>
      <c r="O15" s="7" t="s">
        <v>319</v>
      </c>
      <c r="T15" s="2" t="s">
        <v>77</v>
      </c>
      <c r="U15" s="8"/>
    </row>
    <row r="16" spans="1:24" x14ac:dyDescent="0.25">
      <c r="A16" s="6">
        <v>46231</v>
      </c>
      <c r="B16" s="7" t="s">
        <v>684</v>
      </c>
      <c r="C16" s="7" t="s">
        <v>47</v>
      </c>
      <c r="D16" s="7" t="s">
        <v>685</v>
      </c>
      <c r="F16" s="2" t="s">
        <v>0</v>
      </c>
      <c r="G16" s="4">
        <v>46210</v>
      </c>
      <c r="H16" s="2" t="s">
        <v>2</v>
      </c>
      <c r="I16" s="1" t="s">
        <v>16</v>
      </c>
      <c r="J16" s="2" t="s">
        <v>11</v>
      </c>
      <c r="K16" s="1" t="s">
        <v>14</v>
      </c>
      <c r="M16" s="11" t="s">
        <v>296</v>
      </c>
      <c r="N16" s="8">
        <v>6776</v>
      </c>
      <c r="O16" s="7" t="s">
        <v>323</v>
      </c>
      <c r="T16" s="2" t="s">
        <v>78</v>
      </c>
      <c r="U16" s="8" t="s">
        <v>101</v>
      </c>
    </row>
    <row r="17" spans="1:21" x14ac:dyDescent="0.25">
      <c r="A17" s="6">
        <v>46231</v>
      </c>
      <c r="B17" s="7" t="s">
        <v>686</v>
      </c>
      <c r="C17" s="7" t="s">
        <v>47</v>
      </c>
      <c r="D17" s="7" t="s">
        <v>360</v>
      </c>
      <c r="F17" s="32" t="s">
        <v>447</v>
      </c>
      <c r="G17" s="32"/>
      <c r="H17" s="32"/>
      <c r="I17" s="32"/>
      <c r="J17" s="32"/>
      <c r="K17" s="32"/>
      <c r="M17" s="11" t="s">
        <v>297</v>
      </c>
      <c r="N17" s="8">
        <v>220</v>
      </c>
      <c r="O17" s="7" t="s">
        <v>319</v>
      </c>
      <c r="T17" s="2" t="s">
        <v>92</v>
      </c>
      <c r="U17" s="8" t="s">
        <v>183</v>
      </c>
    </row>
    <row r="18" spans="1:21" x14ac:dyDescent="0.25">
      <c r="A18" s="6">
        <v>46233</v>
      </c>
      <c r="B18" s="7" t="s">
        <v>30</v>
      </c>
      <c r="C18" s="7" t="s">
        <v>31</v>
      </c>
      <c r="D18" s="7" t="s">
        <v>696</v>
      </c>
      <c r="F18" s="32"/>
      <c r="G18" s="32"/>
      <c r="H18" s="32"/>
      <c r="I18" s="32"/>
      <c r="J18" s="32"/>
      <c r="K18" s="32"/>
      <c r="M18" s="11" t="s">
        <v>298</v>
      </c>
      <c r="N18" s="8">
        <v>23</v>
      </c>
      <c r="O18" s="7" t="s">
        <v>320</v>
      </c>
      <c r="T18" s="2" t="s">
        <v>80</v>
      </c>
      <c r="U18" s="8" t="s">
        <v>247</v>
      </c>
    </row>
    <row r="19" spans="1:21" x14ac:dyDescent="0.25">
      <c r="A19" s="6">
        <v>46235</v>
      </c>
      <c r="B19" s="7" t="s">
        <v>444</v>
      </c>
      <c r="C19" s="7" t="s">
        <v>22</v>
      </c>
      <c r="D19" s="7" t="s">
        <v>718</v>
      </c>
      <c r="F19" s="2" t="s">
        <v>0</v>
      </c>
      <c r="G19" s="4">
        <v>46211</v>
      </c>
      <c r="H19" s="2" t="s">
        <v>2</v>
      </c>
      <c r="I19" s="1" t="s">
        <v>15</v>
      </c>
      <c r="J19" s="2" t="s">
        <v>11</v>
      </c>
      <c r="K19" s="1" t="s">
        <v>14</v>
      </c>
      <c r="M19" s="11" t="s">
        <v>299</v>
      </c>
      <c r="N19" s="8">
        <v>0.73</v>
      </c>
      <c r="O19" s="7" t="s">
        <v>321</v>
      </c>
      <c r="T19" s="2" t="s">
        <v>81</v>
      </c>
      <c r="U19" s="8"/>
    </row>
    <row r="20" spans="1:21" x14ac:dyDescent="0.25">
      <c r="A20" s="6">
        <v>46237</v>
      </c>
      <c r="B20" s="7" t="s">
        <v>747</v>
      </c>
      <c r="C20" s="7" t="s">
        <v>748</v>
      </c>
      <c r="D20" s="7" t="s">
        <v>56</v>
      </c>
      <c r="F20" s="32" t="s">
        <v>462</v>
      </c>
      <c r="G20" s="32"/>
      <c r="H20" s="32"/>
      <c r="I20" s="32"/>
      <c r="J20" s="32"/>
      <c r="K20" s="32"/>
      <c r="M20" s="11" t="s">
        <v>300</v>
      </c>
      <c r="N20" s="8">
        <v>307</v>
      </c>
      <c r="O20" s="7" t="s">
        <v>319</v>
      </c>
      <c r="T20" s="2" t="s">
        <v>82</v>
      </c>
      <c r="U20" s="8">
        <f>U21+U22</f>
        <v>0.53439999999999999</v>
      </c>
    </row>
    <row r="21" spans="1:21" x14ac:dyDescent="0.25">
      <c r="A21" s="6">
        <v>46238</v>
      </c>
      <c r="B21" s="7" t="s">
        <v>751</v>
      </c>
      <c r="C21" s="7" t="s">
        <v>22</v>
      </c>
      <c r="D21" s="7" t="s">
        <v>752</v>
      </c>
      <c r="F21" s="32"/>
      <c r="G21" s="32"/>
      <c r="H21" s="32"/>
      <c r="I21" s="32"/>
      <c r="J21" s="32"/>
      <c r="K21" s="32"/>
      <c r="M21" s="11" t="s">
        <v>301</v>
      </c>
      <c r="N21" s="8">
        <v>14.8</v>
      </c>
      <c r="O21" s="7" t="s">
        <v>319</v>
      </c>
      <c r="T21" s="2" t="s">
        <v>83</v>
      </c>
      <c r="U21" s="10">
        <v>0.53439999999999999</v>
      </c>
    </row>
    <row r="22" spans="1:21" x14ac:dyDescent="0.25">
      <c r="A22" s="6">
        <v>46244</v>
      </c>
      <c r="B22" s="7" t="s">
        <v>343</v>
      </c>
      <c r="C22" s="7" t="s">
        <v>344</v>
      </c>
      <c r="D22" s="7" t="s">
        <v>1029</v>
      </c>
      <c r="F22" s="2" t="s">
        <v>0</v>
      </c>
      <c r="G22" s="4">
        <v>46212</v>
      </c>
      <c r="H22" s="2" t="s">
        <v>2</v>
      </c>
      <c r="I22" s="1" t="s">
        <v>22</v>
      </c>
      <c r="J22" s="2" t="s">
        <v>11</v>
      </c>
      <c r="K22" s="1" t="s">
        <v>14</v>
      </c>
      <c r="M22" s="11" t="s">
        <v>302</v>
      </c>
      <c r="N22" s="8">
        <v>215</v>
      </c>
      <c r="O22" s="7" t="s">
        <v>322</v>
      </c>
      <c r="T22" s="2" t="s">
        <v>84</v>
      </c>
      <c r="U22" s="10">
        <v>0</v>
      </c>
    </row>
    <row r="23" spans="1:21" x14ac:dyDescent="0.25">
      <c r="A23" s="6">
        <v>46246</v>
      </c>
      <c r="B23" s="7" t="s">
        <v>874</v>
      </c>
      <c r="C23" s="7" t="s">
        <v>22</v>
      </c>
      <c r="D23" s="7" t="s">
        <v>56</v>
      </c>
      <c r="F23" s="32" t="s">
        <v>469</v>
      </c>
      <c r="G23" s="32"/>
      <c r="H23" s="32"/>
      <c r="I23" s="32"/>
      <c r="J23" s="32"/>
      <c r="K23" s="32"/>
      <c r="M23" s="11" t="s">
        <v>303</v>
      </c>
      <c r="N23" s="8">
        <v>25</v>
      </c>
      <c r="O23" s="7" t="s">
        <v>319</v>
      </c>
      <c r="T23" s="2" t="s">
        <v>115</v>
      </c>
      <c r="U23" s="8"/>
    </row>
    <row r="24" spans="1:21" x14ac:dyDescent="0.25">
      <c r="A24" s="6">
        <v>46253</v>
      </c>
      <c r="B24" s="7" t="s">
        <v>444</v>
      </c>
      <c r="C24" s="7" t="s">
        <v>9</v>
      </c>
      <c r="D24" s="7" t="s">
        <v>925</v>
      </c>
      <c r="F24" s="32"/>
      <c r="G24" s="32"/>
      <c r="H24" s="32"/>
      <c r="I24" s="32"/>
      <c r="J24" s="32"/>
      <c r="K24" s="32"/>
      <c r="M24" s="11" t="s">
        <v>304</v>
      </c>
      <c r="N24" s="8">
        <v>0.11</v>
      </c>
      <c r="O24" s="25" t="s">
        <v>320</v>
      </c>
      <c r="T24" s="2" t="s">
        <v>11</v>
      </c>
      <c r="U24" s="8" t="s">
        <v>249</v>
      </c>
    </row>
    <row r="25" spans="1:21" x14ac:dyDescent="0.25">
      <c r="A25" s="6">
        <v>46256</v>
      </c>
      <c r="B25" s="7" t="s">
        <v>961</v>
      </c>
      <c r="C25" s="7" t="s">
        <v>385</v>
      </c>
      <c r="D25" s="7" t="s">
        <v>962</v>
      </c>
      <c r="F25" s="2" t="s">
        <v>0</v>
      </c>
      <c r="G25" s="4">
        <v>46213</v>
      </c>
      <c r="H25" s="2" t="s">
        <v>2</v>
      </c>
      <c r="I25" s="1" t="s">
        <v>47</v>
      </c>
      <c r="J25" s="2" t="s">
        <v>11</v>
      </c>
      <c r="K25" s="1" t="s">
        <v>14</v>
      </c>
      <c r="M25" s="11" t="s">
        <v>305</v>
      </c>
      <c r="N25" s="8">
        <v>9.4</v>
      </c>
      <c r="O25" s="7" t="s">
        <v>324</v>
      </c>
      <c r="T25" s="2" t="s">
        <v>76</v>
      </c>
      <c r="U25" s="8" t="s">
        <v>248</v>
      </c>
    </row>
    <row r="26" spans="1:21" ht="14.45" customHeight="1" x14ac:dyDescent="0.25">
      <c r="A26" s="6">
        <v>46256</v>
      </c>
      <c r="B26" s="7" t="s">
        <v>961</v>
      </c>
      <c r="C26" s="7" t="s">
        <v>385</v>
      </c>
      <c r="D26" s="7" t="s">
        <v>963</v>
      </c>
      <c r="F26" s="32" t="s">
        <v>480</v>
      </c>
      <c r="G26" s="32"/>
      <c r="H26" s="32"/>
      <c r="I26" s="32"/>
      <c r="J26" s="32"/>
      <c r="K26" s="32"/>
      <c r="M26" s="11" t="s">
        <v>306</v>
      </c>
      <c r="N26" s="24">
        <v>30.8</v>
      </c>
      <c r="O26" s="26" t="s">
        <v>325</v>
      </c>
      <c r="T26" s="2" t="s">
        <v>77</v>
      </c>
      <c r="U26" s="8"/>
    </row>
    <row r="27" spans="1:21" x14ac:dyDescent="0.25">
      <c r="A27" s="6">
        <v>46260</v>
      </c>
      <c r="B27" s="7" t="s">
        <v>987</v>
      </c>
      <c r="C27" s="7" t="s">
        <v>31</v>
      </c>
      <c r="D27" s="7" t="s">
        <v>1006</v>
      </c>
      <c r="F27" s="32"/>
      <c r="G27" s="32"/>
      <c r="H27" s="32"/>
      <c r="I27" s="32"/>
      <c r="J27" s="32"/>
      <c r="K27" s="32"/>
      <c r="M27" s="11" t="s">
        <v>307</v>
      </c>
      <c r="N27" s="8">
        <v>0.6</v>
      </c>
      <c r="O27" s="7" t="s">
        <v>325</v>
      </c>
      <c r="T27" s="2" t="s">
        <v>78</v>
      </c>
      <c r="U27" s="8" t="s">
        <v>101</v>
      </c>
    </row>
    <row r="28" spans="1:21" x14ac:dyDescent="0.25">
      <c r="A28" s="6">
        <v>46265</v>
      </c>
      <c r="B28" s="7" t="s">
        <v>1027</v>
      </c>
      <c r="C28" s="7" t="s">
        <v>47</v>
      </c>
      <c r="D28" s="7" t="s">
        <v>360</v>
      </c>
      <c r="F28" s="32"/>
      <c r="G28" s="32"/>
      <c r="H28" s="32"/>
      <c r="I28" s="32"/>
      <c r="J28" s="32"/>
      <c r="K28" s="32"/>
      <c r="M28" s="11" t="s">
        <v>308</v>
      </c>
      <c r="N28" s="8">
        <v>17.3</v>
      </c>
      <c r="O28" s="7" t="s">
        <v>324</v>
      </c>
      <c r="T28" s="2" t="s">
        <v>92</v>
      </c>
      <c r="U28" s="8" t="s">
        <v>183</v>
      </c>
    </row>
    <row r="29" spans="1:21" x14ac:dyDescent="0.25">
      <c r="A29" s="6">
        <v>46268</v>
      </c>
      <c r="B29" s="7" t="s">
        <v>1076</v>
      </c>
      <c r="C29" s="7" t="s">
        <v>31</v>
      </c>
      <c r="D29" s="7" t="s">
        <v>1077</v>
      </c>
      <c r="F29" s="2" t="s">
        <v>0</v>
      </c>
      <c r="G29" s="4">
        <v>46214</v>
      </c>
      <c r="H29" s="2" t="s">
        <v>2</v>
      </c>
      <c r="I29" s="1" t="s">
        <v>385</v>
      </c>
      <c r="J29" s="2" t="s">
        <v>11</v>
      </c>
      <c r="K29" s="1" t="s">
        <v>14</v>
      </c>
      <c r="M29" s="11" t="s">
        <v>309</v>
      </c>
      <c r="N29" s="8">
        <v>29.7</v>
      </c>
      <c r="O29" s="7" t="s">
        <v>56</v>
      </c>
      <c r="T29" s="2" t="s">
        <v>80</v>
      </c>
      <c r="U29" s="8" t="s">
        <v>247</v>
      </c>
    </row>
    <row r="30" spans="1:21" ht="14.45" customHeight="1" x14ac:dyDescent="0.25">
      <c r="A30" s="6">
        <v>46270</v>
      </c>
      <c r="B30" s="7" t="s">
        <v>805</v>
      </c>
      <c r="C30" s="7" t="s">
        <v>1087</v>
      </c>
      <c r="D30" s="7" t="s">
        <v>416</v>
      </c>
      <c r="F30" s="32" t="s">
        <v>504</v>
      </c>
      <c r="G30" s="32"/>
      <c r="H30" s="32"/>
      <c r="I30" s="32"/>
      <c r="J30" s="32"/>
      <c r="K30" s="32"/>
      <c r="M30" s="11" t="s">
        <v>310</v>
      </c>
      <c r="N30" s="8">
        <v>28.5</v>
      </c>
      <c r="O30" s="7" t="s">
        <v>56</v>
      </c>
      <c r="T30" s="2" t="s">
        <v>81</v>
      </c>
      <c r="U30" s="8"/>
    </row>
    <row r="31" spans="1:21" x14ac:dyDescent="0.25">
      <c r="A31" s="6">
        <v>46272</v>
      </c>
      <c r="B31" s="7" t="s">
        <v>444</v>
      </c>
      <c r="C31" s="7" t="s">
        <v>9</v>
      </c>
      <c r="D31" s="7" t="s">
        <v>1092</v>
      </c>
      <c r="F31" s="32"/>
      <c r="G31" s="32"/>
      <c r="H31" s="32"/>
      <c r="I31" s="32"/>
      <c r="J31" s="32"/>
      <c r="K31" s="32"/>
      <c r="M31" s="11" t="s">
        <v>311</v>
      </c>
      <c r="N31" s="8">
        <v>41.8</v>
      </c>
      <c r="O31" s="7" t="s">
        <v>56</v>
      </c>
      <c r="T31" s="2" t="s">
        <v>82</v>
      </c>
      <c r="U31" s="8">
        <f>U32+U33</f>
        <v>0.29189999999999999</v>
      </c>
    </row>
    <row r="32" spans="1:21" x14ac:dyDescent="0.25">
      <c r="A32" s="6">
        <v>46279</v>
      </c>
      <c r="B32" s="7" t="s">
        <v>1154</v>
      </c>
      <c r="C32" s="7" t="s">
        <v>22</v>
      </c>
      <c r="D32" s="7" t="s">
        <v>56</v>
      </c>
      <c r="F32" s="32"/>
      <c r="G32" s="32"/>
      <c r="H32" s="32"/>
      <c r="I32" s="32"/>
      <c r="J32" s="32"/>
      <c r="K32" s="32"/>
      <c r="T32" s="2" t="s">
        <v>83</v>
      </c>
      <c r="U32" s="10">
        <v>0.29189999999999999</v>
      </c>
    </row>
    <row r="33" spans="1:21" x14ac:dyDescent="0.25">
      <c r="A33" s="6">
        <v>46283</v>
      </c>
      <c r="B33" s="7" t="s">
        <v>1212</v>
      </c>
      <c r="C33" s="7" t="s">
        <v>588</v>
      </c>
      <c r="D33" s="7" t="s">
        <v>1213</v>
      </c>
      <c r="F33" s="32"/>
      <c r="G33" s="32"/>
      <c r="H33" s="32"/>
      <c r="I33" s="32"/>
      <c r="J33" s="32"/>
      <c r="K33" s="32"/>
      <c r="T33" s="2" t="s">
        <v>84</v>
      </c>
      <c r="U33" s="10">
        <v>0</v>
      </c>
    </row>
    <row r="34" spans="1:21" x14ac:dyDescent="0.25">
      <c r="A34" s="6">
        <v>46286</v>
      </c>
      <c r="B34" s="7" t="s">
        <v>1229</v>
      </c>
      <c r="C34" s="7" t="s">
        <v>385</v>
      </c>
      <c r="D34" s="7" t="s">
        <v>1230</v>
      </c>
      <c r="F34" s="32"/>
      <c r="G34" s="32"/>
      <c r="H34" s="32"/>
      <c r="I34" s="32"/>
      <c r="J34" s="32"/>
      <c r="K34" s="32"/>
      <c r="T34" s="2" t="s">
        <v>115</v>
      </c>
      <c r="U34" s="8"/>
    </row>
    <row r="35" spans="1:21" x14ac:dyDescent="0.25">
      <c r="A35" s="6">
        <v>46287</v>
      </c>
      <c r="B35" s="7" t="s">
        <v>1102</v>
      </c>
      <c r="C35" s="7" t="s">
        <v>22</v>
      </c>
      <c r="D35" s="7" t="s">
        <v>1234</v>
      </c>
      <c r="F35" s="2" t="s">
        <v>0</v>
      </c>
      <c r="G35" s="4">
        <v>46218</v>
      </c>
      <c r="H35" s="2" t="s">
        <v>2</v>
      </c>
      <c r="I35" s="1" t="s">
        <v>47</v>
      </c>
      <c r="J35" s="2" t="s">
        <v>11</v>
      </c>
      <c r="K35" s="1" t="s">
        <v>14</v>
      </c>
      <c r="T35" s="2" t="s">
        <v>11</v>
      </c>
      <c r="U35" s="8" t="s">
        <v>250</v>
      </c>
    </row>
    <row r="36" spans="1:21" x14ac:dyDescent="0.25">
      <c r="F36" s="32" t="s">
        <v>529</v>
      </c>
      <c r="G36" s="32"/>
      <c r="H36" s="32"/>
      <c r="I36" s="32"/>
      <c r="J36" s="32"/>
      <c r="K36" s="32"/>
      <c r="T36" s="2" t="s">
        <v>76</v>
      </c>
      <c r="U36" s="8" t="s">
        <v>251</v>
      </c>
    </row>
    <row r="37" spans="1:21" x14ac:dyDescent="0.25">
      <c r="F37" s="32"/>
      <c r="G37" s="32"/>
      <c r="H37" s="32"/>
      <c r="I37" s="32"/>
      <c r="J37" s="32"/>
      <c r="K37" s="32"/>
      <c r="T37" s="2" t="s">
        <v>77</v>
      </c>
      <c r="U37" s="8"/>
    </row>
    <row r="38" spans="1:21" x14ac:dyDescent="0.25">
      <c r="F38" s="32"/>
      <c r="G38" s="32"/>
      <c r="H38" s="32"/>
      <c r="I38" s="32"/>
      <c r="J38" s="32"/>
      <c r="K38" s="32"/>
      <c r="T38" s="2" t="s">
        <v>78</v>
      </c>
      <c r="U38" s="8" t="s">
        <v>101</v>
      </c>
    </row>
    <row r="39" spans="1:21" x14ac:dyDescent="0.25">
      <c r="F39" s="2" t="s">
        <v>0</v>
      </c>
      <c r="G39" s="4">
        <v>46220</v>
      </c>
      <c r="H39" s="2" t="s">
        <v>2</v>
      </c>
      <c r="I39" s="1" t="s">
        <v>47</v>
      </c>
      <c r="J39" s="2" t="s">
        <v>11</v>
      </c>
      <c r="K39" s="1" t="s">
        <v>316</v>
      </c>
      <c r="T39" s="2" t="s">
        <v>92</v>
      </c>
      <c r="U39" s="8" t="s">
        <v>183</v>
      </c>
    </row>
    <row r="40" spans="1:21" x14ac:dyDescent="0.25">
      <c r="F40" s="32" t="s">
        <v>562</v>
      </c>
      <c r="G40" s="32"/>
      <c r="H40" s="32"/>
      <c r="I40" s="32"/>
      <c r="J40" s="32"/>
      <c r="K40" s="32"/>
      <c r="T40" s="2" t="s">
        <v>80</v>
      </c>
      <c r="U40" s="8" t="s">
        <v>247</v>
      </c>
    </row>
    <row r="41" spans="1:21" x14ac:dyDescent="0.25">
      <c r="F41" s="32"/>
      <c r="G41" s="32"/>
      <c r="H41" s="32"/>
      <c r="I41" s="32"/>
      <c r="J41" s="32"/>
      <c r="K41" s="32"/>
      <c r="T41" s="2" t="s">
        <v>81</v>
      </c>
      <c r="U41" s="8"/>
    </row>
    <row r="42" spans="1:21" x14ac:dyDescent="0.25">
      <c r="F42" s="2" t="s">
        <v>0</v>
      </c>
      <c r="G42" s="4">
        <v>46223</v>
      </c>
      <c r="H42" s="2" t="s">
        <v>2</v>
      </c>
      <c r="I42" s="1" t="s">
        <v>47</v>
      </c>
      <c r="J42" s="2" t="s">
        <v>11</v>
      </c>
      <c r="K42" s="1" t="s">
        <v>316</v>
      </c>
      <c r="T42" s="2" t="s">
        <v>82</v>
      </c>
      <c r="U42" s="8">
        <f>U43+U44</f>
        <v>0.56630000000000003</v>
      </c>
    </row>
    <row r="43" spans="1:21" x14ac:dyDescent="0.25">
      <c r="F43" s="32" t="s">
        <v>567</v>
      </c>
      <c r="G43" s="32"/>
      <c r="H43" s="32"/>
      <c r="I43" s="32"/>
      <c r="J43" s="32"/>
      <c r="K43" s="32"/>
      <c r="T43" s="2" t="s">
        <v>83</v>
      </c>
      <c r="U43" s="10">
        <v>0.56630000000000003</v>
      </c>
    </row>
    <row r="44" spans="1:21" x14ac:dyDescent="0.25">
      <c r="F44" s="32"/>
      <c r="G44" s="32"/>
      <c r="H44" s="32"/>
      <c r="I44" s="32"/>
      <c r="J44" s="32"/>
      <c r="K44" s="32"/>
      <c r="T44" s="2" t="s">
        <v>84</v>
      </c>
      <c r="U44" s="10">
        <v>0</v>
      </c>
    </row>
    <row r="45" spans="1:21" x14ac:dyDescent="0.25">
      <c r="F45" s="2" t="s">
        <v>0</v>
      </c>
      <c r="G45" s="4">
        <v>46224</v>
      </c>
      <c r="H45" s="2" t="s">
        <v>2</v>
      </c>
      <c r="I45" s="1" t="s">
        <v>350</v>
      </c>
      <c r="J45" s="2" t="s">
        <v>11</v>
      </c>
      <c r="K45" s="1" t="s">
        <v>360</v>
      </c>
      <c r="T45" s="2" t="s">
        <v>115</v>
      </c>
      <c r="U45" s="8"/>
    </row>
    <row r="46" spans="1:21" ht="14.45" customHeight="1" x14ac:dyDescent="0.25">
      <c r="F46" s="32" t="s">
        <v>581</v>
      </c>
      <c r="G46" s="32"/>
      <c r="H46" s="32"/>
      <c r="I46" s="32"/>
      <c r="J46" s="32"/>
      <c r="K46" s="32"/>
      <c r="T46" s="2" t="s">
        <v>85</v>
      </c>
      <c r="U46" s="10">
        <f>U43+U32+U21+U10</f>
        <v>1.726</v>
      </c>
    </row>
    <row r="47" spans="1:21" x14ac:dyDescent="0.25">
      <c r="F47" s="32"/>
      <c r="G47" s="32"/>
      <c r="H47" s="32"/>
      <c r="I47" s="32"/>
      <c r="J47" s="32"/>
      <c r="K47" s="32"/>
      <c r="T47" s="2" t="s">
        <v>86</v>
      </c>
      <c r="U47" s="10">
        <f>U46*12.032</f>
        <v>20.767232</v>
      </c>
    </row>
    <row r="48" spans="1:21" x14ac:dyDescent="0.25">
      <c r="F48" s="32"/>
      <c r="G48" s="32"/>
      <c r="H48" s="32"/>
      <c r="I48" s="32"/>
      <c r="J48" s="32"/>
      <c r="K48" s="32"/>
    </row>
    <row r="49" spans="6:11" x14ac:dyDescent="0.25">
      <c r="F49" s="2" t="s">
        <v>0</v>
      </c>
      <c r="G49" s="4">
        <v>46225</v>
      </c>
      <c r="H49" s="2" t="s">
        <v>2</v>
      </c>
      <c r="I49" s="1" t="s">
        <v>350</v>
      </c>
      <c r="J49" s="2" t="s">
        <v>11</v>
      </c>
      <c r="K49" s="1" t="s">
        <v>360</v>
      </c>
    </row>
    <row r="50" spans="6:11" x14ac:dyDescent="0.25">
      <c r="F50" s="32" t="s">
        <v>601</v>
      </c>
      <c r="G50" s="32"/>
      <c r="H50" s="32"/>
      <c r="I50" s="32"/>
      <c r="J50" s="32"/>
      <c r="K50" s="32"/>
    </row>
    <row r="51" spans="6:11" x14ac:dyDescent="0.25">
      <c r="F51" s="32"/>
      <c r="G51" s="32"/>
      <c r="H51" s="32"/>
      <c r="I51" s="32"/>
      <c r="J51" s="32"/>
      <c r="K51" s="32"/>
    </row>
    <row r="52" spans="6:11" x14ac:dyDescent="0.25">
      <c r="F52" s="2" t="s">
        <v>0</v>
      </c>
      <c r="G52" s="4">
        <v>46227</v>
      </c>
      <c r="H52" s="2" t="s">
        <v>2</v>
      </c>
      <c r="I52" s="1" t="s">
        <v>350</v>
      </c>
      <c r="J52" s="2" t="s">
        <v>11</v>
      </c>
      <c r="K52" s="1" t="s">
        <v>360</v>
      </c>
    </row>
    <row r="53" spans="6:11" x14ac:dyDescent="0.25">
      <c r="F53" s="32" t="s">
        <v>643</v>
      </c>
      <c r="G53" s="32"/>
      <c r="H53" s="32"/>
      <c r="I53" s="32"/>
      <c r="J53" s="32"/>
      <c r="K53" s="32"/>
    </row>
    <row r="54" spans="6:11" x14ac:dyDescent="0.25">
      <c r="F54" s="32"/>
      <c r="G54" s="32"/>
      <c r="H54" s="32"/>
      <c r="I54" s="32"/>
      <c r="J54" s="32"/>
      <c r="K54" s="32"/>
    </row>
    <row r="55" spans="6:11" x14ac:dyDescent="0.25">
      <c r="F55" s="2" t="s">
        <v>0</v>
      </c>
      <c r="G55" s="4">
        <v>46228</v>
      </c>
      <c r="H55" s="2" t="s">
        <v>2</v>
      </c>
      <c r="I55" s="1" t="s">
        <v>47</v>
      </c>
      <c r="J55" s="2" t="s">
        <v>11</v>
      </c>
      <c r="K55" s="1" t="s">
        <v>14</v>
      </c>
    </row>
    <row r="56" spans="6:11" x14ac:dyDescent="0.25">
      <c r="F56" s="32" t="s">
        <v>637</v>
      </c>
      <c r="G56" s="32"/>
      <c r="H56" s="32"/>
      <c r="I56" s="32"/>
      <c r="J56" s="32"/>
      <c r="K56" s="32"/>
    </row>
    <row r="57" spans="6:11" x14ac:dyDescent="0.25">
      <c r="F57" s="32"/>
      <c r="G57" s="32"/>
      <c r="H57" s="32"/>
      <c r="I57" s="32"/>
      <c r="J57" s="32"/>
      <c r="K57" s="32"/>
    </row>
    <row r="58" spans="6:11" x14ac:dyDescent="0.25">
      <c r="F58" s="2" t="s">
        <v>0</v>
      </c>
      <c r="G58" s="4">
        <v>46231</v>
      </c>
      <c r="H58" s="2" t="s">
        <v>2</v>
      </c>
      <c r="I58" s="1" t="s">
        <v>47</v>
      </c>
      <c r="J58" s="2" t="s">
        <v>11</v>
      </c>
      <c r="K58" s="1" t="s">
        <v>14</v>
      </c>
    </row>
    <row r="59" spans="6:11" x14ac:dyDescent="0.25">
      <c r="F59" s="32" t="s">
        <v>683</v>
      </c>
      <c r="G59" s="32"/>
      <c r="H59" s="32"/>
      <c r="I59" s="32"/>
      <c r="J59" s="32"/>
      <c r="K59" s="32"/>
    </row>
    <row r="60" spans="6:11" x14ac:dyDescent="0.25">
      <c r="F60" s="32"/>
      <c r="G60" s="32"/>
      <c r="H60" s="32"/>
      <c r="I60" s="32"/>
      <c r="J60" s="32"/>
      <c r="K60" s="32"/>
    </row>
    <row r="61" spans="6:11" x14ac:dyDescent="0.25">
      <c r="F61" s="2" t="s">
        <v>0</v>
      </c>
      <c r="G61" s="4">
        <v>46235</v>
      </c>
      <c r="H61" s="2" t="s">
        <v>2</v>
      </c>
      <c r="I61" s="1" t="s">
        <v>16</v>
      </c>
      <c r="J61" s="2" t="s">
        <v>11</v>
      </c>
      <c r="K61" s="1" t="s">
        <v>14</v>
      </c>
    </row>
    <row r="62" spans="6:11" ht="14.45" customHeight="1" x14ac:dyDescent="0.25">
      <c r="F62" s="32" t="s">
        <v>724</v>
      </c>
      <c r="G62" s="32"/>
      <c r="H62" s="32"/>
      <c r="I62" s="32"/>
      <c r="J62" s="32"/>
      <c r="K62" s="32"/>
    </row>
    <row r="63" spans="6:11" x14ac:dyDescent="0.25">
      <c r="F63" s="32"/>
      <c r="G63" s="32"/>
      <c r="H63" s="32"/>
      <c r="I63" s="32"/>
      <c r="J63" s="32"/>
      <c r="K63" s="32"/>
    </row>
    <row r="64" spans="6:11" x14ac:dyDescent="0.25">
      <c r="F64" s="32"/>
      <c r="G64" s="32"/>
      <c r="H64" s="32"/>
      <c r="I64" s="32"/>
      <c r="J64" s="32"/>
      <c r="K64" s="32"/>
    </row>
    <row r="65" spans="6:11" x14ac:dyDescent="0.25">
      <c r="F65" s="32"/>
      <c r="G65" s="32"/>
      <c r="H65" s="32"/>
      <c r="I65" s="32"/>
      <c r="J65" s="32"/>
      <c r="K65" s="32"/>
    </row>
    <row r="66" spans="6:11" x14ac:dyDescent="0.25">
      <c r="F66" s="32"/>
      <c r="G66" s="32"/>
      <c r="H66" s="32"/>
      <c r="I66" s="32"/>
      <c r="J66" s="32"/>
      <c r="K66" s="32"/>
    </row>
    <row r="67" spans="6:11" x14ac:dyDescent="0.25">
      <c r="F67" s="32"/>
      <c r="G67" s="32"/>
      <c r="H67" s="32"/>
      <c r="I67" s="32"/>
      <c r="J67" s="32"/>
      <c r="K67" s="32"/>
    </row>
    <row r="68" spans="6:11" x14ac:dyDescent="0.25">
      <c r="F68" s="32"/>
      <c r="G68" s="32"/>
      <c r="H68" s="32"/>
      <c r="I68" s="32"/>
      <c r="J68" s="32"/>
      <c r="K68" s="32"/>
    </row>
    <row r="69" spans="6:11" x14ac:dyDescent="0.25">
      <c r="F69" s="32"/>
      <c r="G69" s="32"/>
      <c r="H69" s="32"/>
      <c r="I69" s="32"/>
      <c r="J69" s="32"/>
      <c r="K69" s="32"/>
    </row>
    <row r="70" spans="6:11" x14ac:dyDescent="0.25">
      <c r="F70" s="2" t="s">
        <v>0</v>
      </c>
      <c r="G70" s="4">
        <v>46237</v>
      </c>
      <c r="H70" s="2" t="s">
        <v>2</v>
      </c>
      <c r="I70" s="1" t="s">
        <v>733</v>
      </c>
      <c r="J70" s="2" t="s">
        <v>11</v>
      </c>
      <c r="K70" s="1" t="s">
        <v>14</v>
      </c>
    </row>
    <row r="71" spans="6:11" ht="14.45" customHeight="1" x14ac:dyDescent="0.25">
      <c r="F71" s="32" t="s">
        <v>746</v>
      </c>
      <c r="G71" s="32"/>
      <c r="H71" s="32"/>
      <c r="I71" s="32"/>
      <c r="J71" s="32"/>
      <c r="K71" s="32"/>
    </row>
    <row r="72" spans="6:11" x14ac:dyDescent="0.25">
      <c r="F72" s="32"/>
      <c r="G72" s="32"/>
      <c r="H72" s="32"/>
      <c r="I72" s="32"/>
      <c r="J72" s="32"/>
      <c r="K72" s="32"/>
    </row>
    <row r="73" spans="6:11" x14ac:dyDescent="0.25">
      <c r="F73" s="32"/>
      <c r="G73" s="32"/>
      <c r="H73" s="32"/>
      <c r="I73" s="32"/>
      <c r="J73" s="32"/>
      <c r="K73" s="32"/>
    </row>
    <row r="74" spans="6:11" x14ac:dyDescent="0.25">
      <c r="F74" s="2" t="s">
        <v>0</v>
      </c>
      <c r="G74" s="4">
        <v>46238</v>
      </c>
      <c r="H74" s="2" t="s">
        <v>2</v>
      </c>
      <c r="I74" s="1" t="s">
        <v>22</v>
      </c>
      <c r="J74" s="2" t="s">
        <v>11</v>
      </c>
      <c r="K74" s="1" t="s">
        <v>14</v>
      </c>
    </row>
    <row r="75" spans="6:11" x14ac:dyDescent="0.25">
      <c r="F75" s="32" t="s">
        <v>637</v>
      </c>
      <c r="G75" s="32"/>
      <c r="H75" s="32"/>
      <c r="I75" s="32"/>
      <c r="J75" s="32"/>
      <c r="K75" s="32"/>
    </row>
    <row r="76" spans="6:11" x14ac:dyDescent="0.25">
      <c r="F76" s="32"/>
      <c r="G76" s="32"/>
      <c r="H76" s="32"/>
      <c r="I76" s="32"/>
      <c r="J76" s="32"/>
      <c r="K76" s="32"/>
    </row>
    <row r="77" spans="6:11" x14ac:dyDescent="0.25">
      <c r="F77" s="2" t="s">
        <v>0</v>
      </c>
      <c r="G77" s="4">
        <v>46246</v>
      </c>
      <c r="H77" s="2" t="s">
        <v>2</v>
      </c>
      <c r="I77" s="1" t="s">
        <v>22</v>
      </c>
      <c r="J77" s="2" t="s">
        <v>11</v>
      </c>
      <c r="K77" s="1" t="s">
        <v>14</v>
      </c>
    </row>
    <row r="78" spans="6:11" ht="14.45" customHeight="1" x14ac:dyDescent="0.25">
      <c r="F78" s="32" t="s">
        <v>880</v>
      </c>
      <c r="G78" s="32"/>
      <c r="H78" s="32"/>
      <c r="I78" s="32"/>
      <c r="J78" s="32"/>
      <c r="K78" s="32"/>
    </row>
    <row r="79" spans="6:11" x14ac:dyDescent="0.25">
      <c r="F79" s="32"/>
      <c r="G79" s="32"/>
      <c r="H79" s="32"/>
      <c r="I79" s="32"/>
      <c r="J79" s="32"/>
      <c r="K79" s="32"/>
    </row>
    <row r="80" spans="6:11" x14ac:dyDescent="0.25">
      <c r="F80" s="32"/>
      <c r="G80" s="32"/>
      <c r="H80" s="32"/>
      <c r="I80" s="32"/>
      <c r="J80" s="32"/>
      <c r="K80" s="32"/>
    </row>
    <row r="81" spans="6:11" x14ac:dyDescent="0.25">
      <c r="F81" s="2" t="s">
        <v>0</v>
      </c>
      <c r="G81" s="4">
        <v>46249</v>
      </c>
      <c r="H81" s="2" t="s">
        <v>2</v>
      </c>
      <c r="I81" s="1" t="s">
        <v>47</v>
      </c>
      <c r="J81" s="2" t="s">
        <v>11</v>
      </c>
      <c r="K81" s="1" t="s">
        <v>14</v>
      </c>
    </row>
    <row r="82" spans="6:11" x14ac:dyDescent="0.25">
      <c r="F82" s="32" t="s">
        <v>897</v>
      </c>
      <c r="G82" s="32"/>
      <c r="H82" s="32"/>
      <c r="I82" s="32"/>
      <c r="J82" s="32"/>
      <c r="K82" s="32"/>
    </row>
    <row r="83" spans="6:11" x14ac:dyDescent="0.25">
      <c r="F83" s="32"/>
      <c r="G83" s="32"/>
      <c r="H83" s="32"/>
      <c r="I83" s="32"/>
      <c r="J83" s="32"/>
      <c r="K83" s="32"/>
    </row>
    <row r="84" spans="6:11" x14ac:dyDescent="0.25">
      <c r="F84" s="32"/>
      <c r="G84" s="32"/>
      <c r="H84" s="32"/>
      <c r="I84" s="32"/>
      <c r="J84" s="32"/>
      <c r="K84" s="32"/>
    </row>
    <row r="85" spans="6:11" x14ac:dyDescent="0.25">
      <c r="F85" s="2" t="s">
        <v>0</v>
      </c>
      <c r="G85" s="4">
        <v>46253</v>
      </c>
      <c r="H85" s="2" t="s">
        <v>2</v>
      </c>
      <c r="I85" s="1" t="s">
        <v>22</v>
      </c>
      <c r="J85" s="2" t="s">
        <v>11</v>
      </c>
      <c r="K85" s="1" t="s">
        <v>14</v>
      </c>
    </row>
    <row r="86" spans="6:11" ht="14.45" customHeight="1" x14ac:dyDescent="0.25">
      <c r="F86" s="32" t="s">
        <v>927</v>
      </c>
      <c r="G86" s="32"/>
      <c r="H86" s="32"/>
      <c r="I86" s="32"/>
      <c r="J86" s="32"/>
      <c r="K86" s="32"/>
    </row>
    <row r="87" spans="6:11" x14ac:dyDescent="0.25">
      <c r="F87" s="32"/>
      <c r="G87" s="32"/>
      <c r="H87" s="32"/>
      <c r="I87" s="32"/>
      <c r="J87" s="32"/>
      <c r="K87" s="32"/>
    </row>
    <row r="88" spans="6:11" x14ac:dyDescent="0.25">
      <c r="F88" s="32"/>
      <c r="G88" s="32"/>
      <c r="H88" s="32"/>
      <c r="I88" s="32"/>
      <c r="J88" s="32"/>
      <c r="K88" s="32"/>
    </row>
    <row r="89" spans="6:11" x14ac:dyDescent="0.25">
      <c r="F89" s="32"/>
      <c r="G89" s="32"/>
      <c r="H89" s="32"/>
      <c r="I89" s="32"/>
      <c r="J89" s="32"/>
      <c r="K89" s="32"/>
    </row>
    <row r="90" spans="6:11" x14ac:dyDescent="0.25">
      <c r="F90" s="32"/>
      <c r="G90" s="32"/>
      <c r="H90" s="32"/>
      <c r="I90" s="32"/>
      <c r="J90" s="32"/>
      <c r="K90" s="32"/>
    </row>
    <row r="91" spans="6:11" x14ac:dyDescent="0.25">
      <c r="F91" s="32"/>
      <c r="G91" s="32"/>
      <c r="H91" s="32"/>
      <c r="I91" s="32"/>
      <c r="J91" s="32"/>
      <c r="K91" s="32"/>
    </row>
    <row r="92" spans="6:11" x14ac:dyDescent="0.25">
      <c r="F92" s="2" t="s">
        <v>0</v>
      </c>
      <c r="G92" s="4">
        <v>46256</v>
      </c>
      <c r="H92" s="2" t="s">
        <v>2</v>
      </c>
      <c r="I92" s="1" t="s">
        <v>385</v>
      </c>
      <c r="J92" s="2" t="s">
        <v>11</v>
      </c>
      <c r="K92" s="1" t="s">
        <v>14</v>
      </c>
    </row>
    <row r="93" spans="6:11" ht="14.45" customHeight="1" x14ac:dyDescent="0.25">
      <c r="F93" s="32" t="s">
        <v>964</v>
      </c>
      <c r="G93" s="32"/>
      <c r="H93" s="32"/>
      <c r="I93" s="32"/>
      <c r="J93" s="32"/>
      <c r="K93" s="32"/>
    </row>
    <row r="94" spans="6:11" x14ac:dyDescent="0.25">
      <c r="F94" s="32"/>
      <c r="G94" s="32"/>
      <c r="H94" s="32"/>
      <c r="I94" s="32"/>
      <c r="J94" s="32"/>
      <c r="K94" s="32"/>
    </row>
    <row r="95" spans="6:11" x14ac:dyDescent="0.25">
      <c r="F95" s="32"/>
      <c r="G95" s="32"/>
      <c r="H95" s="32"/>
      <c r="I95" s="32"/>
      <c r="J95" s="32"/>
      <c r="K95" s="32"/>
    </row>
    <row r="96" spans="6:11" x14ac:dyDescent="0.25">
      <c r="F96" s="32"/>
      <c r="G96" s="32"/>
      <c r="H96" s="32"/>
      <c r="I96" s="32"/>
      <c r="J96" s="32"/>
      <c r="K96" s="32"/>
    </row>
    <row r="97" spans="6:11" x14ac:dyDescent="0.25">
      <c r="F97" s="32"/>
      <c r="G97" s="32"/>
      <c r="H97" s="32"/>
      <c r="I97" s="32"/>
      <c r="J97" s="32"/>
      <c r="K97" s="32"/>
    </row>
    <row r="98" spans="6:11" x14ac:dyDescent="0.25">
      <c r="F98" s="2" t="s">
        <v>0</v>
      </c>
      <c r="G98" s="4">
        <v>46258</v>
      </c>
      <c r="H98" s="2" t="s">
        <v>2</v>
      </c>
      <c r="I98" s="1" t="s">
        <v>350</v>
      </c>
      <c r="J98" s="2" t="s">
        <v>11</v>
      </c>
      <c r="K98" s="1" t="s">
        <v>362</v>
      </c>
    </row>
    <row r="99" spans="6:11" x14ac:dyDescent="0.25">
      <c r="F99" s="32" t="s">
        <v>976</v>
      </c>
      <c r="G99" s="32"/>
      <c r="H99" s="32"/>
      <c r="I99" s="32"/>
      <c r="J99" s="32"/>
      <c r="K99" s="32"/>
    </row>
    <row r="100" spans="6:11" x14ac:dyDescent="0.25">
      <c r="F100" s="32"/>
      <c r="G100" s="32"/>
      <c r="H100" s="32"/>
      <c r="I100" s="32"/>
      <c r="J100" s="32"/>
      <c r="K100" s="32"/>
    </row>
    <row r="101" spans="6:11" x14ac:dyDescent="0.25">
      <c r="F101" s="32"/>
      <c r="G101" s="32"/>
      <c r="H101" s="32"/>
      <c r="I101" s="32"/>
      <c r="J101" s="32"/>
      <c r="K101" s="32"/>
    </row>
    <row r="102" spans="6:11" x14ac:dyDescent="0.25">
      <c r="F102" s="32"/>
      <c r="G102" s="32"/>
      <c r="H102" s="32"/>
      <c r="I102" s="32"/>
      <c r="J102" s="32"/>
      <c r="K102" s="32"/>
    </row>
    <row r="103" spans="6:11" x14ac:dyDescent="0.25">
      <c r="F103" s="32"/>
      <c r="G103" s="32"/>
      <c r="H103" s="32"/>
      <c r="I103" s="32"/>
      <c r="J103" s="32"/>
      <c r="K103" s="32"/>
    </row>
    <row r="104" spans="6:11" x14ac:dyDescent="0.25">
      <c r="F104" s="2" t="s">
        <v>0</v>
      </c>
      <c r="G104" s="4">
        <v>46265</v>
      </c>
      <c r="H104" s="2" t="s">
        <v>2</v>
      </c>
      <c r="I104" s="1" t="s">
        <v>22</v>
      </c>
      <c r="J104" s="2" t="s">
        <v>11</v>
      </c>
      <c r="K104" s="1" t="s">
        <v>14</v>
      </c>
    </row>
    <row r="105" spans="6:11" ht="14.45" customHeight="1" x14ac:dyDescent="0.25">
      <c r="F105" s="32" t="s">
        <v>1028</v>
      </c>
      <c r="G105" s="32"/>
      <c r="H105" s="32"/>
      <c r="I105" s="32"/>
      <c r="J105" s="32"/>
      <c r="K105" s="32"/>
    </row>
    <row r="106" spans="6:11" x14ac:dyDescent="0.25">
      <c r="F106" s="32"/>
      <c r="G106" s="32"/>
      <c r="H106" s="32"/>
      <c r="I106" s="32"/>
      <c r="J106" s="32"/>
      <c r="K106" s="32"/>
    </row>
    <row r="107" spans="6:11" x14ac:dyDescent="0.25">
      <c r="F107" s="32"/>
      <c r="G107" s="32"/>
      <c r="H107" s="32"/>
      <c r="I107" s="32"/>
      <c r="J107" s="32"/>
      <c r="K107" s="32"/>
    </row>
    <row r="108" spans="6:11" x14ac:dyDescent="0.25">
      <c r="F108" s="32"/>
      <c r="G108" s="32"/>
      <c r="H108" s="32"/>
      <c r="I108" s="32"/>
      <c r="J108" s="32"/>
      <c r="K108" s="32"/>
    </row>
    <row r="109" spans="6:11" x14ac:dyDescent="0.25">
      <c r="F109" s="32"/>
      <c r="G109" s="32"/>
      <c r="H109" s="32"/>
      <c r="I109" s="32"/>
      <c r="J109" s="32"/>
      <c r="K109" s="32"/>
    </row>
    <row r="110" spans="6:11" x14ac:dyDescent="0.25">
      <c r="F110" s="32"/>
      <c r="G110" s="32"/>
      <c r="H110" s="32"/>
      <c r="I110" s="32"/>
      <c r="J110" s="32"/>
      <c r="K110" s="32"/>
    </row>
    <row r="111" spans="6:11" x14ac:dyDescent="0.25">
      <c r="F111" s="2" t="s">
        <v>0</v>
      </c>
      <c r="G111" s="4">
        <v>46270</v>
      </c>
      <c r="H111" s="2" t="s">
        <v>2</v>
      </c>
      <c r="I111" s="1" t="s">
        <v>35</v>
      </c>
      <c r="J111" s="2" t="s">
        <v>11</v>
      </c>
      <c r="K111" s="1" t="s">
        <v>14</v>
      </c>
    </row>
    <row r="112" spans="6:11" x14ac:dyDescent="0.25">
      <c r="F112" s="32" t="s">
        <v>1088</v>
      </c>
      <c r="G112" s="32"/>
      <c r="H112" s="32"/>
      <c r="I112" s="32"/>
      <c r="J112" s="32"/>
      <c r="K112" s="32"/>
    </row>
    <row r="113" spans="6:11" x14ac:dyDescent="0.25">
      <c r="F113" s="32"/>
      <c r="G113" s="32"/>
      <c r="H113" s="32"/>
      <c r="I113" s="32"/>
      <c r="J113" s="32"/>
      <c r="K113" s="32"/>
    </row>
    <row r="114" spans="6:11" x14ac:dyDescent="0.25">
      <c r="F114" s="2" t="s">
        <v>0</v>
      </c>
      <c r="G114" s="4">
        <v>46272</v>
      </c>
      <c r="H114" s="2" t="s">
        <v>2</v>
      </c>
      <c r="I114" s="1" t="s">
        <v>22</v>
      </c>
      <c r="J114" s="2" t="s">
        <v>11</v>
      </c>
      <c r="K114" s="1" t="s">
        <v>14</v>
      </c>
    </row>
    <row r="115" spans="6:11" x14ac:dyDescent="0.25">
      <c r="F115" s="32" t="s">
        <v>1093</v>
      </c>
      <c r="G115" s="32"/>
      <c r="H115" s="32"/>
      <c r="I115" s="32"/>
      <c r="J115" s="32"/>
      <c r="K115" s="32"/>
    </row>
    <row r="116" spans="6:11" x14ac:dyDescent="0.25">
      <c r="F116" s="32"/>
      <c r="G116" s="32"/>
      <c r="H116" s="32"/>
      <c r="I116" s="32"/>
      <c r="J116" s="32"/>
      <c r="K116" s="32"/>
    </row>
    <row r="117" spans="6:11" x14ac:dyDescent="0.25">
      <c r="F117" s="2" t="s">
        <v>0</v>
      </c>
      <c r="G117" s="4">
        <v>46279</v>
      </c>
      <c r="H117" s="2" t="s">
        <v>2</v>
      </c>
      <c r="I117" s="1" t="s">
        <v>22</v>
      </c>
      <c r="J117" s="2" t="s">
        <v>11</v>
      </c>
      <c r="K117" s="1" t="s">
        <v>14</v>
      </c>
    </row>
    <row r="118" spans="6:11" x14ac:dyDescent="0.25">
      <c r="F118" s="32" t="s">
        <v>1156</v>
      </c>
      <c r="G118" s="32"/>
      <c r="H118" s="32"/>
      <c r="I118" s="32"/>
      <c r="J118" s="32"/>
      <c r="K118" s="32"/>
    </row>
    <row r="119" spans="6:11" x14ac:dyDescent="0.25">
      <c r="F119" s="32"/>
      <c r="G119" s="32"/>
      <c r="H119" s="32"/>
      <c r="I119" s="32"/>
      <c r="J119" s="32"/>
      <c r="K119" s="32"/>
    </row>
    <row r="120" spans="6:11" x14ac:dyDescent="0.25">
      <c r="F120" s="2" t="s">
        <v>0</v>
      </c>
      <c r="G120" s="4">
        <v>46286</v>
      </c>
      <c r="H120" s="2" t="s">
        <v>2</v>
      </c>
      <c r="I120" s="1" t="s">
        <v>385</v>
      </c>
      <c r="J120" s="2" t="s">
        <v>11</v>
      </c>
      <c r="K120" s="1" t="s">
        <v>360</v>
      </c>
    </row>
    <row r="121" spans="6:11" ht="14.45" customHeight="1" x14ac:dyDescent="0.25">
      <c r="F121" s="32" t="s">
        <v>1231</v>
      </c>
      <c r="G121" s="32"/>
      <c r="H121" s="32"/>
      <c r="I121" s="32"/>
      <c r="J121" s="32"/>
      <c r="K121" s="32"/>
    </row>
    <row r="122" spans="6:11" x14ac:dyDescent="0.25">
      <c r="F122" s="32"/>
      <c r="G122" s="32"/>
      <c r="H122" s="32"/>
      <c r="I122" s="32"/>
      <c r="J122" s="32"/>
      <c r="K122" s="32"/>
    </row>
    <row r="123" spans="6:11" x14ac:dyDescent="0.25">
      <c r="F123" s="32"/>
      <c r="G123" s="32"/>
      <c r="H123" s="32"/>
      <c r="I123" s="32"/>
      <c r="J123" s="32"/>
      <c r="K123" s="32"/>
    </row>
    <row r="124" spans="6:11" x14ac:dyDescent="0.25">
      <c r="F124" s="32"/>
      <c r="G124" s="32"/>
      <c r="H124" s="32"/>
      <c r="I124" s="32"/>
      <c r="J124" s="32"/>
      <c r="K124" s="32"/>
    </row>
    <row r="125" spans="6:11" x14ac:dyDescent="0.25">
      <c r="F125" s="2" t="s">
        <v>0</v>
      </c>
      <c r="G125" s="4">
        <v>46287</v>
      </c>
      <c r="H125" s="2" t="s">
        <v>2</v>
      </c>
      <c r="I125" s="1" t="s">
        <v>22</v>
      </c>
      <c r="J125" s="2" t="s">
        <v>11</v>
      </c>
      <c r="K125" s="1" t="s">
        <v>14</v>
      </c>
    </row>
    <row r="126" spans="6:11" x14ac:dyDescent="0.25">
      <c r="F126" s="32" t="s">
        <v>1236</v>
      </c>
      <c r="G126" s="32"/>
      <c r="H126" s="32"/>
      <c r="I126" s="32"/>
      <c r="J126" s="32"/>
      <c r="K126" s="32"/>
    </row>
    <row r="127" spans="6:11" x14ac:dyDescent="0.25">
      <c r="F127" s="32"/>
      <c r="G127" s="32"/>
      <c r="H127" s="32"/>
      <c r="I127" s="32"/>
      <c r="J127" s="32"/>
      <c r="K127" s="32"/>
    </row>
  </sheetData>
  <mergeCells count="35">
    <mergeCell ref="F86:K91"/>
    <mergeCell ref="F105:K110"/>
    <mergeCell ref="F93:K97"/>
    <mergeCell ref="F99:K103"/>
    <mergeCell ref="F121:K124"/>
    <mergeCell ref="F118:K119"/>
    <mergeCell ref="F112:K113"/>
    <mergeCell ref="F115:K116"/>
    <mergeCell ref="F26:K28"/>
    <mergeCell ref="F14:K15"/>
    <mergeCell ref="F36:K38"/>
    <mergeCell ref="F30:K34"/>
    <mergeCell ref="F46:K48"/>
    <mergeCell ref="F40:K41"/>
    <mergeCell ref="F82:K84"/>
    <mergeCell ref="F78:K80"/>
    <mergeCell ref="F56:K57"/>
    <mergeCell ref="F53:K54"/>
    <mergeCell ref="F50:K51"/>
    <mergeCell ref="F126:K127"/>
    <mergeCell ref="W1:X1"/>
    <mergeCell ref="T1:U1"/>
    <mergeCell ref="F3:K4"/>
    <mergeCell ref="F1:K1"/>
    <mergeCell ref="M1:R1"/>
    <mergeCell ref="F62:K69"/>
    <mergeCell ref="F75:K76"/>
    <mergeCell ref="F71:K73"/>
    <mergeCell ref="F6:K8"/>
    <mergeCell ref="F23:K24"/>
    <mergeCell ref="F20:K21"/>
    <mergeCell ref="F17:K18"/>
    <mergeCell ref="F10:K12"/>
    <mergeCell ref="F59:K60"/>
    <mergeCell ref="F43:K44"/>
  </mergeCells>
  <phoneticPr fontId="4"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93B39-32B0-484F-AA1B-3B34FB8A5427}">
  <dimension ref="A1:X112"/>
  <sheetViews>
    <sheetView topLeftCell="A86" workbookViewId="0">
      <selection activeCell="M110" sqref="M110"/>
    </sheetView>
  </sheetViews>
  <sheetFormatPr baseColWidth="10" defaultRowHeight="15" x14ac:dyDescent="0.25"/>
  <cols>
    <col min="1" max="1" width="11.5703125" style="7"/>
    <col min="2" max="2" width="26.140625" style="7" bestFit="1" customWidth="1"/>
    <col min="3" max="3" width="11.5703125" style="7"/>
    <col min="4" max="4" width="30.5703125" style="7" bestFit="1" customWidth="1"/>
    <col min="13" max="13" width="12.42578125" bestFit="1" customWidth="1"/>
    <col min="20" max="20" width="21.28515625" bestFit="1" customWidth="1"/>
    <col min="21" max="21" width="19.28515625" bestFit="1" customWidth="1"/>
    <col min="23" max="23" width="11.5703125" style="7"/>
    <col min="24" max="24" width="15" style="7" bestFit="1" customWidth="1"/>
  </cols>
  <sheetData>
    <row r="1" spans="1:24" x14ac:dyDescent="0.25">
      <c r="A1" s="3" t="s">
        <v>0</v>
      </c>
      <c r="B1" s="3" t="s">
        <v>1</v>
      </c>
      <c r="C1" s="3" t="s">
        <v>2</v>
      </c>
      <c r="D1" s="3" t="s">
        <v>3</v>
      </c>
      <c r="F1" s="36" t="s">
        <v>4</v>
      </c>
      <c r="G1" s="36"/>
      <c r="H1" s="36"/>
      <c r="I1" s="36"/>
      <c r="J1" s="36"/>
      <c r="K1" s="36"/>
      <c r="M1" s="36" t="s">
        <v>5</v>
      </c>
      <c r="N1" s="36"/>
      <c r="O1" s="36"/>
      <c r="P1" s="36"/>
      <c r="Q1" s="36"/>
      <c r="R1" s="36"/>
      <c r="T1" s="34" t="s">
        <v>7</v>
      </c>
      <c r="U1" s="35"/>
      <c r="W1" s="33" t="s">
        <v>87</v>
      </c>
      <c r="X1" s="33"/>
    </row>
    <row r="2" spans="1:24" ht="14.45" customHeight="1" x14ac:dyDescent="0.25">
      <c r="A2" s="6">
        <v>46196</v>
      </c>
      <c r="B2" s="7" t="s">
        <v>8</v>
      </c>
      <c r="C2" s="7" t="s">
        <v>9</v>
      </c>
      <c r="D2" s="7" t="s">
        <v>10</v>
      </c>
      <c r="F2" s="2" t="s">
        <v>0</v>
      </c>
      <c r="G2" s="4">
        <v>46196</v>
      </c>
      <c r="H2" s="2" t="s">
        <v>2</v>
      </c>
      <c r="I2" s="1" t="s">
        <v>16</v>
      </c>
      <c r="J2" s="2" t="s">
        <v>11</v>
      </c>
      <c r="K2" s="1" t="s">
        <v>14</v>
      </c>
      <c r="M2" s="16" t="s">
        <v>0</v>
      </c>
      <c r="N2" s="4">
        <v>46107</v>
      </c>
      <c r="O2" s="22" t="s">
        <v>6</v>
      </c>
      <c r="P2" s="18" t="s">
        <v>282</v>
      </c>
      <c r="Q2" s="11" t="s">
        <v>11</v>
      </c>
      <c r="R2" s="8" t="s">
        <v>317</v>
      </c>
      <c r="T2" s="2" t="s">
        <v>11</v>
      </c>
      <c r="U2" s="8" t="s">
        <v>252</v>
      </c>
      <c r="W2" s="3" t="s">
        <v>0</v>
      </c>
      <c r="X2" s="3" t="s">
        <v>88</v>
      </c>
    </row>
    <row r="3" spans="1:24" x14ac:dyDescent="0.25">
      <c r="A3" s="6">
        <v>46196</v>
      </c>
      <c r="B3" s="7" t="s">
        <v>44</v>
      </c>
      <c r="C3" s="7" t="s">
        <v>18</v>
      </c>
      <c r="D3" s="7" t="s">
        <v>45</v>
      </c>
      <c r="F3" s="37" t="s">
        <v>43</v>
      </c>
      <c r="G3" s="37"/>
      <c r="H3" s="37"/>
      <c r="I3" s="37"/>
      <c r="J3" s="37"/>
      <c r="K3" s="37"/>
      <c r="M3" s="15" t="s">
        <v>283</v>
      </c>
      <c r="N3" s="3" t="s">
        <v>315</v>
      </c>
      <c r="O3" s="5"/>
      <c r="T3" s="2" t="s">
        <v>76</v>
      </c>
      <c r="U3" s="8" t="s">
        <v>253</v>
      </c>
    </row>
    <row r="4" spans="1:24" x14ac:dyDescent="0.25">
      <c r="A4" s="6">
        <v>46196</v>
      </c>
      <c r="B4" s="7" t="s">
        <v>30</v>
      </c>
      <c r="C4" s="7" t="s">
        <v>31</v>
      </c>
      <c r="D4" s="7" t="s">
        <v>32</v>
      </c>
      <c r="F4" s="37"/>
      <c r="G4" s="37"/>
      <c r="H4" s="37"/>
      <c r="I4" s="37"/>
      <c r="J4" s="37"/>
      <c r="K4" s="37"/>
      <c r="M4" s="15" t="s">
        <v>284</v>
      </c>
      <c r="N4" s="12" t="s">
        <v>314</v>
      </c>
      <c r="O4" s="12" t="s">
        <v>318</v>
      </c>
      <c r="T4" s="2" t="s">
        <v>77</v>
      </c>
      <c r="U4" s="8"/>
    </row>
    <row r="5" spans="1:24" x14ac:dyDescent="0.25">
      <c r="A5" s="6">
        <v>46206</v>
      </c>
      <c r="B5" s="7" t="s">
        <v>394</v>
      </c>
      <c r="C5" s="7" t="s">
        <v>9</v>
      </c>
      <c r="D5" s="7" t="s">
        <v>395</v>
      </c>
      <c r="F5" s="2" t="s">
        <v>0</v>
      </c>
      <c r="G5" s="6">
        <v>46206</v>
      </c>
      <c r="H5" s="2" t="s">
        <v>2</v>
      </c>
      <c r="I5" s="1" t="s">
        <v>22</v>
      </c>
      <c r="J5" s="2" t="s">
        <v>11</v>
      </c>
      <c r="K5" s="1" t="s">
        <v>14</v>
      </c>
      <c r="M5" s="11" t="s">
        <v>285</v>
      </c>
      <c r="N5" s="13">
        <v>1</v>
      </c>
      <c r="O5" s="25" t="s">
        <v>56</v>
      </c>
      <c r="T5" s="2" t="s">
        <v>78</v>
      </c>
      <c r="U5" s="8" t="s">
        <v>101</v>
      </c>
    </row>
    <row r="6" spans="1:24" ht="14.45" customHeight="1" x14ac:dyDescent="0.25">
      <c r="A6" s="6">
        <v>46207</v>
      </c>
      <c r="B6" s="7" t="s">
        <v>415</v>
      </c>
      <c r="C6" s="7" t="s">
        <v>16</v>
      </c>
      <c r="D6" s="7" t="s">
        <v>416</v>
      </c>
      <c r="F6" s="37" t="s">
        <v>396</v>
      </c>
      <c r="G6" s="37"/>
      <c r="H6" s="37"/>
      <c r="I6" s="37"/>
      <c r="J6" s="37"/>
      <c r="K6" s="37"/>
      <c r="M6" s="11" t="s">
        <v>286</v>
      </c>
      <c r="N6" s="14">
        <v>8.4</v>
      </c>
      <c r="O6" s="26" t="s">
        <v>319</v>
      </c>
      <c r="T6" s="2" t="s">
        <v>92</v>
      </c>
      <c r="U6" s="8" t="s">
        <v>254</v>
      </c>
    </row>
    <row r="7" spans="1:24" x14ac:dyDescent="0.25">
      <c r="A7" s="6">
        <v>46210</v>
      </c>
      <c r="B7" s="7" t="s">
        <v>30</v>
      </c>
      <c r="C7" s="7" t="s">
        <v>31</v>
      </c>
      <c r="D7" s="7" t="s">
        <v>482</v>
      </c>
      <c r="F7" s="37"/>
      <c r="G7" s="37"/>
      <c r="H7" s="37"/>
      <c r="I7" s="37"/>
      <c r="J7" s="37"/>
      <c r="K7" s="37"/>
      <c r="M7" s="11" t="s">
        <v>287</v>
      </c>
      <c r="N7" s="1">
        <v>0.17</v>
      </c>
      <c r="O7" s="7" t="s">
        <v>320</v>
      </c>
      <c r="T7" s="2" t="s">
        <v>80</v>
      </c>
      <c r="U7" s="8" t="s">
        <v>210</v>
      </c>
    </row>
    <row r="8" spans="1:24" x14ac:dyDescent="0.25">
      <c r="A8" s="6">
        <v>46211</v>
      </c>
      <c r="B8" s="7" t="s">
        <v>444</v>
      </c>
      <c r="C8" s="7" t="s">
        <v>22</v>
      </c>
      <c r="D8" s="7" t="s">
        <v>445</v>
      </c>
      <c r="F8" s="37"/>
      <c r="G8" s="37"/>
      <c r="H8" s="37"/>
      <c r="I8" s="37"/>
      <c r="J8" s="37"/>
      <c r="K8" s="37"/>
      <c r="M8" s="11" t="s">
        <v>288</v>
      </c>
      <c r="N8" s="1">
        <v>1.04</v>
      </c>
      <c r="O8" s="25" t="s">
        <v>321</v>
      </c>
      <c r="T8" s="2" t="s">
        <v>81</v>
      </c>
      <c r="U8" s="8" t="s">
        <v>255</v>
      </c>
    </row>
    <row r="9" spans="1:24" x14ac:dyDescent="0.25">
      <c r="A9" s="6">
        <v>46215</v>
      </c>
      <c r="B9" s="7" t="s">
        <v>505</v>
      </c>
      <c r="C9" s="7" t="s">
        <v>22</v>
      </c>
      <c r="D9" s="7" t="s">
        <v>56</v>
      </c>
      <c r="F9" s="2" t="s">
        <v>0</v>
      </c>
      <c r="G9" s="6">
        <v>46207</v>
      </c>
      <c r="H9" s="2" t="s">
        <v>2</v>
      </c>
      <c r="I9" s="1" t="s">
        <v>414</v>
      </c>
      <c r="J9" s="2" t="s">
        <v>11</v>
      </c>
      <c r="K9" s="1" t="s">
        <v>14</v>
      </c>
      <c r="M9" s="11" t="s">
        <v>289</v>
      </c>
      <c r="N9" s="13">
        <v>1.8</v>
      </c>
      <c r="O9" s="25" t="s">
        <v>321</v>
      </c>
      <c r="T9" s="2" t="s">
        <v>82</v>
      </c>
      <c r="U9" s="10">
        <f>U10+U11</f>
        <v>0.33169999999999999</v>
      </c>
    </row>
    <row r="10" spans="1:24" x14ac:dyDescent="0.25">
      <c r="A10" s="6">
        <v>46228</v>
      </c>
      <c r="B10" s="7" t="s">
        <v>639</v>
      </c>
      <c r="C10" s="7" t="s">
        <v>47</v>
      </c>
      <c r="D10" s="7" t="s">
        <v>56</v>
      </c>
      <c r="F10" s="37" t="s">
        <v>417</v>
      </c>
      <c r="G10" s="37"/>
      <c r="H10" s="37"/>
      <c r="I10" s="37"/>
      <c r="J10" s="37"/>
      <c r="K10" s="37"/>
      <c r="M10" s="11" t="s">
        <v>290</v>
      </c>
      <c r="N10" s="13">
        <v>21</v>
      </c>
      <c r="O10" s="25" t="s">
        <v>321</v>
      </c>
      <c r="T10" s="2" t="s">
        <v>83</v>
      </c>
      <c r="U10" s="10">
        <v>0.33169999999999999</v>
      </c>
    </row>
    <row r="11" spans="1:24" x14ac:dyDescent="0.25">
      <c r="A11" s="6">
        <v>46230</v>
      </c>
      <c r="B11" s="7" t="s">
        <v>658</v>
      </c>
      <c r="C11" s="7" t="s">
        <v>22</v>
      </c>
      <c r="D11" s="7" t="s">
        <v>56</v>
      </c>
      <c r="F11" s="37"/>
      <c r="G11" s="37"/>
      <c r="H11" s="37"/>
      <c r="I11" s="37"/>
      <c r="J11" s="37"/>
      <c r="K11" s="37"/>
      <c r="M11" s="11" t="s">
        <v>291</v>
      </c>
      <c r="N11" s="1">
        <v>4.5999999999999996</v>
      </c>
      <c r="O11" s="25" t="s">
        <v>327</v>
      </c>
      <c r="T11" s="2" t="s">
        <v>84</v>
      </c>
      <c r="U11" s="10">
        <v>0</v>
      </c>
    </row>
    <row r="12" spans="1:24" x14ac:dyDescent="0.25">
      <c r="A12" s="6">
        <v>46230</v>
      </c>
      <c r="B12" s="7" t="s">
        <v>667</v>
      </c>
      <c r="C12" s="7" t="s">
        <v>624</v>
      </c>
      <c r="D12" s="7" t="s">
        <v>668</v>
      </c>
      <c r="F12" s="37"/>
      <c r="G12" s="37"/>
      <c r="H12" s="37"/>
      <c r="I12" s="37"/>
      <c r="J12" s="37"/>
      <c r="K12" s="37"/>
      <c r="M12" s="11" t="s">
        <v>292</v>
      </c>
      <c r="N12" s="13">
        <v>0.15</v>
      </c>
      <c r="O12" s="25" t="s">
        <v>319</v>
      </c>
      <c r="T12" s="2" t="s">
        <v>115</v>
      </c>
      <c r="U12" s="8"/>
    </row>
    <row r="13" spans="1:24" x14ac:dyDescent="0.25">
      <c r="A13" s="6">
        <v>46230</v>
      </c>
      <c r="B13" s="7" t="s">
        <v>666</v>
      </c>
      <c r="C13" s="7" t="s">
        <v>624</v>
      </c>
      <c r="D13" s="7" t="s">
        <v>14</v>
      </c>
      <c r="F13" s="2" t="s">
        <v>0</v>
      </c>
      <c r="G13" s="4">
        <v>46211</v>
      </c>
      <c r="H13" s="2" t="s">
        <v>2</v>
      </c>
      <c r="I13" s="1" t="s">
        <v>22</v>
      </c>
      <c r="J13" s="2" t="s">
        <v>11</v>
      </c>
      <c r="K13" s="1" t="s">
        <v>14</v>
      </c>
      <c r="M13" s="11" t="s">
        <v>293</v>
      </c>
      <c r="N13" s="14">
        <v>3</v>
      </c>
      <c r="O13" s="26" t="s">
        <v>320</v>
      </c>
      <c r="T13" s="2" t="s">
        <v>11</v>
      </c>
      <c r="U13" s="8" t="s">
        <v>256</v>
      </c>
    </row>
    <row r="14" spans="1:24" ht="14.45" customHeight="1" x14ac:dyDescent="0.25">
      <c r="A14" s="6">
        <v>46231</v>
      </c>
      <c r="B14" s="7" t="s">
        <v>30</v>
      </c>
      <c r="C14" s="7" t="s">
        <v>31</v>
      </c>
      <c r="D14" s="7" t="s">
        <v>538</v>
      </c>
      <c r="F14" s="37" t="s">
        <v>463</v>
      </c>
      <c r="G14" s="37"/>
      <c r="H14" s="37"/>
      <c r="I14" s="37"/>
      <c r="J14" s="37"/>
      <c r="K14" s="37"/>
      <c r="M14" s="11" t="s">
        <v>294</v>
      </c>
      <c r="N14" s="1">
        <v>14.7</v>
      </c>
      <c r="O14" s="7" t="s">
        <v>321</v>
      </c>
      <c r="T14" s="2" t="s">
        <v>76</v>
      </c>
      <c r="U14" s="8" t="s">
        <v>257</v>
      </c>
    </row>
    <row r="15" spans="1:24" x14ac:dyDescent="0.25">
      <c r="A15" s="6">
        <v>46233</v>
      </c>
      <c r="B15" s="7" t="s">
        <v>706</v>
      </c>
      <c r="C15" s="7" t="s">
        <v>22</v>
      </c>
      <c r="D15" s="7" t="s">
        <v>56</v>
      </c>
      <c r="F15" s="37"/>
      <c r="G15" s="37"/>
      <c r="H15" s="37"/>
      <c r="I15" s="37"/>
      <c r="J15" s="37"/>
      <c r="K15" s="37"/>
      <c r="M15" s="11" t="s">
        <v>295</v>
      </c>
      <c r="N15" s="1">
        <v>257</v>
      </c>
      <c r="O15" s="7" t="s">
        <v>322</v>
      </c>
      <c r="T15" s="2" t="s">
        <v>77</v>
      </c>
      <c r="U15" s="8"/>
    </row>
    <row r="16" spans="1:24" x14ac:dyDescent="0.25">
      <c r="A16" s="6">
        <v>46233</v>
      </c>
      <c r="B16" s="7" t="s">
        <v>444</v>
      </c>
      <c r="C16" s="7" t="s">
        <v>22</v>
      </c>
      <c r="D16" s="7" t="s">
        <v>672</v>
      </c>
      <c r="F16" s="37"/>
      <c r="G16" s="37"/>
      <c r="H16" s="37"/>
      <c r="I16" s="37"/>
      <c r="J16" s="37"/>
      <c r="K16" s="37"/>
      <c r="M16" s="11" t="s">
        <v>296</v>
      </c>
      <c r="N16" s="8">
        <v>6715</v>
      </c>
      <c r="O16" s="7" t="s">
        <v>323</v>
      </c>
      <c r="T16" s="2" t="s">
        <v>78</v>
      </c>
      <c r="U16" s="8" t="s">
        <v>101</v>
      </c>
    </row>
    <row r="17" spans="1:21" x14ac:dyDescent="0.25">
      <c r="A17" s="6">
        <v>46238</v>
      </c>
      <c r="B17" s="7" t="s">
        <v>343</v>
      </c>
      <c r="C17" s="7" t="s">
        <v>344</v>
      </c>
      <c r="D17" s="7" t="s">
        <v>1029</v>
      </c>
      <c r="F17" s="37"/>
      <c r="G17" s="37"/>
      <c r="H17" s="37"/>
      <c r="I17" s="37"/>
      <c r="J17" s="37"/>
      <c r="K17" s="37"/>
      <c r="M17" s="11" t="s">
        <v>297</v>
      </c>
      <c r="N17" s="8">
        <v>220</v>
      </c>
      <c r="O17" s="7" t="s">
        <v>319</v>
      </c>
      <c r="T17" s="2" t="s">
        <v>92</v>
      </c>
      <c r="U17" s="8" t="s">
        <v>254</v>
      </c>
    </row>
    <row r="18" spans="1:21" x14ac:dyDescent="0.25">
      <c r="A18" s="6">
        <v>46243</v>
      </c>
      <c r="B18" s="7" t="s">
        <v>832</v>
      </c>
      <c r="C18" s="7" t="s">
        <v>733</v>
      </c>
      <c r="D18" s="7" t="s">
        <v>56</v>
      </c>
      <c r="F18" s="2" t="s">
        <v>0</v>
      </c>
      <c r="G18" s="4">
        <v>46213</v>
      </c>
      <c r="H18" s="2" t="s">
        <v>2</v>
      </c>
      <c r="I18" s="1" t="s">
        <v>47</v>
      </c>
      <c r="J18" s="2" t="s">
        <v>11</v>
      </c>
      <c r="K18" s="1" t="s">
        <v>14</v>
      </c>
      <c r="M18" s="11" t="s">
        <v>298</v>
      </c>
      <c r="N18" s="8">
        <v>24</v>
      </c>
      <c r="O18" s="7" t="s">
        <v>320</v>
      </c>
      <c r="T18" s="2" t="s">
        <v>80</v>
      </c>
      <c r="U18" s="8" t="s">
        <v>210</v>
      </c>
    </row>
    <row r="19" spans="1:21" ht="14.45" customHeight="1" x14ac:dyDescent="0.25">
      <c r="A19" s="6">
        <v>46243</v>
      </c>
      <c r="B19" s="7" t="s">
        <v>833</v>
      </c>
      <c r="C19" s="7" t="s">
        <v>35</v>
      </c>
      <c r="D19" s="7" t="s">
        <v>56</v>
      </c>
      <c r="F19" s="37" t="s">
        <v>486</v>
      </c>
      <c r="G19" s="37"/>
      <c r="H19" s="37"/>
      <c r="I19" s="37"/>
      <c r="J19" s="37"/>
      <c r="K19" s="37"/>
      <c r="M19" s="11" t="s">
        <v>299</v>
      </c>
      <c r="N19" s="8">
        <v>1.22</v>
      </c>
      <c r="O19" s="7" t="s">
        <v>322</v>
      </c>
      <c r="T19" s="2" t="s">
        <v>81</v>
      </c>
      <c r="U19" s="8" t="s">
        <v>255</v>
      </c>
    </row>
    <row r="20" spans="1:21" x14ac:dyDescent="0.25">
      <c r="A20" s="6">
        <v>46245</v>
      </c>
      <c r="B20" s="7" t="s">
        <v>866</v>
      </c>
      <c r="C20" s="7" t="s">
        <v>31</v>
      </c>
      <c r="D20" s="7" t="s">
        <v>56</v>
      </c>
      <c r="F20" s="37"/>
      <c r="G20" s="37"/>
      <c r="H20" s="37"/>
      <c r="I20" s="37"/>
      <c r="J20" s="37"/>
      <c r="K20" s="37"/>
      <c r="M20" s="11" t="s">
        <v>300</v>
      </c>
      <c r="N20" s="8">
        <v>188</v>
      </c>
      <c r="O20" s="7" t="s">
        <v>322</v>
      </c>
      <c r="T20" s="2" t="s">
        <v>82</v>
      </c>
      <c r="U20" s="10">
        <f>U21+U22</f>
        <v>0.74509999999999998</v>
      </c>
    </row>
    <row r="21" spans="1:21" x14ac:dyDescent="0.25">
      <c r="A21" s="6">
        <v>46247</v>
      </c>
      <c r="B21" s="7" t="s">
        <v>874</v>
      </c>
      <c r="C21" s="7" t="s">
        <v>22</v>
      </c>
      <c r="D21" s="7" t="s">
        <v>45</v>
      </c>
      <c r="F21" s="37"/>
      <c r="G21" s="37"/>
      <c r="H21" s="37"/>
      <c r="I21" s="37"/>
      <c r="J21" s="37"/>
      <c r="K21" s="37"/>
      <c r="M21" s="11" t="s">
        <v>301</v>
      </c>
      <c r="N21" s="8">
        <v>5.6</v>
      </c>
      <c r="O21" s="7" t="s">
        <v>321</v>
      </c>
      <c r="T21" s="2" t="s">
        <v>83</v>
      </c>
      <c r="U21" s="10">
        <v>0.74509999999999998</v>
      </c>
    </row>
    <row r="22" spans="1:21" x14ac:dyDescent="0.25">
      <c r="A22" s="6">
        <v>46248</v>
      </c>
      <c r="B22" s="7" t="s">
        <v>874</v>
      </c>
      <c r="C22" s="7" t="s">
        <v>22</v>
      </c>
      <c r="D22" s="7" t="s">
        <v>416</v>
      </c>
      <c r="F22" s="37"/>
      <c r="G22" s="37"/>
      <c r="H22" s="37"/>
      <c r="I22" s="37"/>
      <c r="J22" s="37"/>
      <c r="K22" s="37"/>
      <c r="M22" s="11" t="s">
        <v>302</v>
      </c>
      <c r="N22" s="8">
        <v>148</v>
      </c>
      <c r="O22" s="7" t="s">
        <v>322</v>
      </c>
      <c r="T22" s="2" t="s">
        <v>84</v>
      </c>
      <c r="U22" s="10">
        <v>0</v>
      </c>
    </row>
    <row r="23" spans="1:21" x14ac:dyDescent="0.25">
      <c r="A23" s="6">
        <v>46253</v>
      </c>
      <c r="B23" s="7" t="s">
        <v>8</v>
      </c>
      <c r="C23" s="7" t="s">
        <v>22</v>
      </c>
      <c r="D23" s="7" t="s">
        <v>918</v>
      </c>
      <c r="F23" s="37"/>
      <c r="G23" s="37"/>
      <c r="H23" s="37"/>
      <c r="I23" s="37"/>
      <c r="J23" s="37"/>
      <c r="K23" s="37"/>
      <c r="M23" s="11" t="s">
        <v>303</v>
      </c>
      <c r="N23" s="8">
        <v>18</v>
      </c>
      <c r="O23" s="7" t="s">
        <v>322</v>
      </c>
      <c r="T23" s="2" t="s">
        <v>115</v>
      </c>
      <c r="U23" s="8"/>
    </row>
    <row r="24" spans="1:21" x14ac:dyDescent="0.25">
      <c r="A24" s="6">
        <v>46262</v>
      </c>
      <c r="B24" s="7" t="s">
        <v>1011</v>
      </c>
      <c r="C24" s="7" t="s">
        <v>16</v>
      </c>
      <c r="D24" s="7" t="s">
        <v>45</v>
      </c>
      <c r="F24" s="2" t="s">
        <v>0</v>
      </c>
      <c r="G24" s="6">
        <v>46215</v>
      </c>
      <c r="H24" s="2" t="s">
        <v>2</v>
      </c>
      <c r="I24" s="1" t="s">
        <v>22</v>
      </c>
      <c r="J24" s="2" t="s">
        <v>11</v>
      </c>
      <c r="K24" s="1" t="s">
        <v>14</v>
      </c>
      <c r="M24" s="11" t="s">
        <v>304</v>
      </c>
      <c r="N24" s="8">
        <v>0.1</v>
      </c>
      <c r="O24" s="25" t="s">
        <v>328</v>
      </c>
      <c r="T24" s="2" t="s">
        <v>85</v>
      </c>
      <c r="U24" s="10">
        <f>U21+U10</f>
        <v>1.0768</v>
      </c>
    </row>
    <row r="25" spans="1:21" ht="14.45" customHeight="1" x14ac:dyDescent="0.25">
      <c r="A25" s="6">
        <v>46263</v>
      </c>
      <c r="B25" s="7" t="s">
        <v>1011</v>
      </c>
      <c r="C25" s="7" t="s">
        <v>16</v>
      </c>
      <c r="D25" s="7" t="s">
        <v>45</v>
      </c>
      <c r="F25" s="32" t="s">
        <v>506</v>
      </c>
      <c r="G25" s="32"/>
      <c r="H25" s="32"/>
      <c r="I25" s="32"/>
      <c r="J25" s="32"/>
      <c r="K25" s="32"/>
      <c r="M25" s="11" t="s">
        <v>305</v>
      </c>
      <c r="N25" s="8">
        <v>6.9</v>
      </c>
      <c r="O25" s="7" t="s">
        <v>328</v>
      </c>
      <c r="T25" s="2" t="s">
        <v>86</v>
      </c>
      <c r="U25" s="10">
        <f>U24*12.032</f>
        <v>12.956057599999999</v>
      </c>
    </row>
    <row r="26" spans="1:21" x14ac:dyDescent="0.25">
      <c r="A26" s="6">
        <v>46267</v>
      </c>
      <c r="B26" s="7" t="s">
        <v>1011</v>
      </c>
      <c r="C26" s="7" t="s">
        <v>1033</v>
      </c>
      <c r="D26" s="7" t="s">
        <v>416</v>
      </c>
      <c r="F26" s="32"/>
      <c r="G26" s="32"/>
      <c r="H26" s="32"/>
      <c r="I26" s="32"/>
      <c r="J26" s="32"/>
      <c r="K26" s="32"/>
      <c r="M26" s="11" t="s">
        <v>306</v>
      </c>
      <c r="N26" s="24">
        <v>30.5</v>
      </c>
      <c r="O26" s="26" t="s">
        <v>325</v>
      </c>
    </row>
    <row r="27" spans="1:21" x14ac:dyDescent="0.25">
      <c r="A27" s="6">
        <v>46267</v>
      </c>
      <c r="B27" s="7" t="s">
        <v>420</v>
      </c>
      <c r="C27" s="7" t="s">
        <v>1033</v>
      </c>
      <c r="D27" s="7" t="s">
        <v>416</v>
      </c>
      <c r="F27" s="32"/>
      <c r="G27" s="32"/>
      <c r="H27" s="32"/>
      <c r="I27" s="32"/>
      <c r="J27" s="32"/>
      <c r="K27" s="32"/>
      <c r="M27" s="11" t="s">
        <v>307</v>
      </c>
      <c r="N27" s="8">
        <v>0.9</v>
      </c>
      <c r="O27" s="7" t="s">
        <v>328</v>
      </c>
    </row>
    <row r="28" spans="1:21" x14ac:dyDescent="0.25">
      <c r="A28" s="6">
        <v>46268</v>
      </c>
      <c r="B28" s="7" t="s">
        <v>862</v>
      </c>
      <c r="C28" s="7" t="s">
        <v>1079</v>
      </c>
      <c r="D28" s="7" t="s">
        <v>45</v>
      </c>
      <c r="F28" s="32"/>
      <c r="G28" s="32"/>
      <c r="H28" s="32"/>
      <c r="I28" s="32"/>
      <c r="J28" s="32"/>
      <c r="K28" s="32"/>
      <c r="M28" s="11" t="s">
        <v>308</v>
      </c>
      <c r="N28" s="8">
        <v>26.1</v>
      </c>
      <c r="O28" s="7" t="s">
        <v>333</v>
      </c>
    </row>
    <row r="29" spans="1:21" x14ac:dyDescent="0.25">
      <c r="A29" s="6">
        <v>46270</v>
      </c>
      <c r="B29" s="7" t="s">
        <v>862</v>
      </c>
      <c r="C29" s="7" t="s">
        <v>35</v>
      </c>
      <c r="D29" s="7" t="s">
        <v>45</v>
      </c>
      <c r="F29" s="32"/>
      <c r="G29" s="32"/>
      <c r="H29" s="32"/>
      <c r="I29" s="32"/>
      <c r="J29" s="32"/>
      <c r="K29" s="32"/>
      <c r="M29" s="11" t="s">
        <v>309</v>
      </c>
      <c r="N29" s="8">
        <v>32.4</v>
      </c>
      <c r="O29" s="7" t="s">
        <v>56</v>
      </c>
    </row>
    <row r="30" spans="1:21" x14ac:dyDescent="0.25">
      <c r="A30" s="30">
        <v>46274</v>
      </c>
      <c r="B30" s="31" t="s">
        <v>1076</v>
      </c>
      <c r="C30" s="31" t="s">
        <v>31</v>
      </c>
      <c r="D30" s="31" t="s">
        <v>1112</v>
      </c>
      <c r="F30" s="2" t="s">
        <v>0</v>
      </c>
      <c r="G30" s="4">
        <v>46220</v>
      </c>
      <c r="H30" s="2" t="s">
        <v>2</v>
      </c>
      <c r="I30" s="1" t="s">
        <v>47</v>
      </c>
      <c r="J30" s="2" t="s">
        <v>11</v>
      </c>
      <c r="K30" s="1" t="s">
        <v>14</v>
      </c>
      <c r="M30" s="11" t="s">
        <v>310</v>
      </c>
      <c r="N30" s="8">
        <v>24.7</v>
      </c>
      <c r="O30" s="7" t="s">
        <v>56</v>
      </c>
    </row>
    <row r="31" spans="1:21" x14ac:dyDescent="0.25">
      <c r="A31" s="6">
        <v>46276</v>
      </c>
      <c r="B31" s="7" t="s">
        <v>1130</v>
      </c>
      <c r="C31" s="7" t="s">
        <v>22</v>
      </c>
      <c r="D31" s="7" t="s">
        <v>1131</v>
      </c>
      <c r="F31" s="32" t="s">
        <v>559</v>
      </c>
      <c r="G31" s="32"/>
      <c r="H31" s="32"/>
      <c r="I31" s="32"/>
      <c r="J31" s="32"/>
      <c r="K31" s="32"/>
      <c r="M31" s="11" t="s">
        <v>311</v>
      </c>
      <c r="N31" s="8">
        <v>42.7</v>
      </c>
      <c r="O31" s="7" t="s">
        <v>56</v>
      </c>
    </row>
    <row r="32" spans="1:21" x14ac:dyDescent="0.25">
      <c r="A32" s="6">
        <v>46277</v>
      </c>
      <c r="B32" s="7" t="s">
        <v>1150</v>
      </c>
      <c r="C32" s="7" t="s">
        <v>350</v>
      </c>
      <c r="D32" s="7" t="s">
        <v>56</v>
      </c>
      <c r="F32" s="32"/>
      <c r="G32" s="32"/>
      <c r="H32" s="32"/>
      <c r="I32" s="32"/>
      <c r="J32" s="32"/>
      <c r="K32" s="32"/>
    </row>
    <row r="33" spans="6:11" x14ac:dyDescent="0.25">
      <c r="F33" s="32"/>
      <c r="G33" s="32"/>
      <c r="H33" s="32"/>
      <c r="I33" s="32"/>
      <c r="J33" s="32"/>
      <c r="K33" s="32"/>
    </row>
    <row r="34" spans="6:11" x14ac:dyDescent="0.25">
      <c r="F34" s="2" t="s">
        <v>0</v>
      </c>
      <c r="G34" s="4">
        <v>46228</v>
      </c>
      <c r="H34" s="2" t="s">
        <v>2</v>
      </c>
      <c r="I34" s="1" t="s">
        <v>47</v>
      </c>
      <c r="J34" s="2" t="s">
        <v>11</v>
      </c>
      <c r="K34" s="1" t="s">
        <v>14</v>
      </c>
    </row>
    <row r="35" spans="6:11" x14ac:dyDescent="0.25">
      <c r="F35" s="32" t="s">
        <v>640</v>
      </c>
      <c r="G35" s="32"/>
      <c r="H35" s="32"/>
      <c r="I35" s="32"/>
      <c r="J35" s="32"/>
      <c r="K35" s="32"/>
    </row>
    <row r="36" spans="6:11" x14ac:dyDescent="0.25">
      <c r="F36" s="32"/>
      <c r="G36" s="32"/>
      <c r="H36" s="32"/>
      <c r="I36" s="32"/>
      <c r="J36" s="32"/>
      <c r="K36" s="32"/>
    </row>
    <row r="37" spans="6:11" x14ac:dyDescent="0.25">
      <c r="F37" s="32"/>
      <c r="G37" s="32"/>
      <c r="H37" s="32"/>
      <c r="I37" s="32"/>
      <c r="J37" s="32"/>
      <c r="K37" s="32"/>
    </row>
    <row r="38" spans="6:11" x14ac:dyDescent="0.25">
      <c r="F38" s="2" t="s">
        <v>0</v>
      </c>
      <c r="G38" s="4">
        <v>46230</v>
      </c>
      <c r="H38" s="2" t="s">
        <v>2</v>
      </c>
      <c r="I38" s="1" t="s">
        <v>22</v>
      </c>
      <c r="J38" s="2" t="s">
        <v>11</v>
      </c>
      <c r="K38" s="1" t="s">
        <v>14</v>
      </c>
    </row>
    <row r="39" spans="6:11" x14ac:dyDescent="0.25">
      <c r="F39" s="32" t="s">
        <v>659</v>
      </c>
      <c r="G39" s="32"/>
      <c r="H39" s="32"/>
      <c r="I39" s="32"/>
      <c r="J39" s="32"/>
      <c r="K39" s="32"/>
    </row>
    <row r="40" spans="6:11" x14ac:dyDescent="0.25">
      <c r="F40" s="32"/>
      <c r="G40" s="32"/>
      <c r="H40" s="32"/>
      <c r="I40" s="32"/>
      <c r="J40" s="32"/>
      <c r="K40" s="32"/>
    </row>
    <row r="41" spans="6:11" x14ac:dyDescent="0.25">
      <c r="F41" s="32"/>
      <c r="G41" s="32"/>
      <c r="H41" s="32"/>
      <c r="I41" s="32"/>
      <c r="J41" s="32"/>
      <c r="K41" s="32"/>
    </row>
    <row r="42" spans="6:11" x14ac:dyDescent="0.25">
      <c r="F42" s="2" t="s">
        <v>0</v>
      </c>
      <c r="G42" s="4">
        <v>46230</v>
      </c>
      <c r="H42" s="2" t="s">
        <v>2</v>
      </c>
      <c r="I42" s="1" t="s">
        <v>385</v>
      </c>
      <c r="J42" s="2" t="s">
        <v>11</v>
      </c>
      <c r="K42" s="1" t="s">
        <v>14</v>
      </c>
    </row>
    <row r="43" spans="6:11" x14ac:dyDescent="0.25">
      <c r="F43" s="32" t="s">
        <v>665</v>
      </c>
      <c r="G43" s="32"/>
      <c r="H43" s="32"/>
      <c r="I43" s="32"/>
      <c r="J43" s="32"/>
      <c r="K43" s="32"/>
    </row>
    <row r="44" spans="6:11" x14ac:dyDescent="0.25">
      <c r="F44" s="32"/>
      <c r="G44" s="32"/>
      <c r="H44" s="32"/>
      <c r="I44" s="32"/>
      <c r="J44" s="32"/>
      <c r="K44" s="32"/>
    </row>
    <row r="45" spans="6:11" x14ac:dyDescent="0.25">
      <c r="F45" s="32"/>
      <c r="G45" s="32"/>
      <c r="H45" s="32"/>
      <c r="I45" s="32"/>
      <c r="J45" s="32"/>
      <c r="K45" s="32"/>
    </row>
    <row r="46" spans="6:11" x14ac:dyDescent="0.25">
      <c r="F46" s="2" t="s">
        <v>0</v>
      </c>
      <c r="G46" s="4">
        <v>46233</v>
      </c>
      <c r="H46" s="2" t="s">
        <v>2</v>
      </c>
      <c r="I46" s="1" t="s">
        <v>385</v>
      </c>
      <c r="J46" s="2" t="s">
        <v>11</v>
      </c>
      <c r="K46" s="1" t="s">
        <v>14</v>
      </c>
    </row>
    <row r="47" spans="6:11" x14ac:dyDescent="0.25">
      <c r="F47" s="32" t="s">
        <v>707</v>
      </c>
      <c r="G47" s="32"/>
      <c r="H47" s="32"/>
      <c r="I47" s="32"/>
      <c r="J47" s="32"/>
      <c r="K47" s="32"/>
    </row>
    <row r="48" spans="6:11" x14ac:dyDescent="0.25">
      <c r="F48" s="32"/>
      <c r="G48" s="32"/>
      <c r="H48" s="32"/>
      <c r="I48" s="32"/>
      <c r="J48" s="32"/>
      <c r="K48" s="32"/>
    </row>
    <row r="49" spans="6:11" x14ac:dyDescent="0.25">
      <c r="F49" s="32"/>
      <c r="G49" s="32"/>
      <c r="H49" s="32"/>
      <c r="I49" s="32"/>
      <c r="J49" s="32"/>
      <c r="K49" s="32"/>
    </row>
    <row r="50" spans="6:11" x14ac:dyDescent="0.25">
      <c r="F50" s="2" t="s">
        <v>0</v>
      </c>
      <c r="G50" s="4">
        <v>46243</v>
      </c>
      <c r="H50" s="2" t="s">
        <v>2</v>
      </c>
      <c r="I50" s="1" t="s">
        <v>733</v>
      </c>
      <c r="J50" s="2" t="s">
        <v>11</v>
      </c>
      <c r="K50" s="1" t="s">
        <v>14</v>
      </c>
    </row>
    <row r="51" spans="6:11" x14ac:dyDescent="0.25">
      <c r="F51" s="32" t="s">
        <v>834</v>
      </c>
      <c r="G51" s="32"/>
      <c r="H51" s="32"/>
      <c r="I51" s="32"/>
      <c r="J51" s="32"/>
      <c r="K51" s="32"/>
    </row>
    <row r="52" spans="6:11" x14ac:dyDescent="0.25">
      <c r="F52" s="32"/>
      <c r="G52" s="32"/>
      <c r="H52" s="32"/>
      <c r="I52" s="32"/>
      <c r="J52" s="32"/>
      <c r="K52" s="32"/>
    </row>
    <row r="53" spans="6:11" x14ac:dyDescent="0.25">
      <c r="F53" s="32"/>
      <c r="G53" s="32"/>
      <c r="H53" s="32"/>
      <c r="I53" s="32"/>
      <c r="J53" s="32"/>
      <c r="K53" s="32"/>
    </row>
    <row r="54" spans="6:11" x14ac:dyDescent="0.25">
      <c r="F54" s="2" t="s">
        <v>0</v>
      </c>
      <c r="G54" s="4">
        <v>46247</v>
      </c>
      <c r="H54" s="2" t="s">
        <v>2</v>
      </c>
      <c r="I54" s="1" t="s">
        <v>22</v>
      </c>
      <c r="J54" s="2" t="s">
        <v>11</v>
      </c>
      <c r="K54" s="1" t="s">
        <v>14</v>
      </c>
    </row>
    <row r="55" spans="6:11" x14ac:dyDescent="0.25">
      <c r="F55" s="32" t="s">
        <v>890</v>
      </c>
      <c r="G55" s="32"/>
      <c r="H55" s="32"/>
      <c r="I55" s="32"/>
      <c r="J55" s="32"/>
      <c r="K55" s="32"/>
    </row>
    <row r="56" spans="6:11" x14ac:dyDescent="0.25">
      <c r="F56" s="32"/>
      <c r="G56" s="32"/>
      <c r="H56" s="32"/>
      <c r="I56" s="32"/>
      <c r="J56" s="32"/>
      <c r="K56" s="32"/>
    </row>
    <row r="57" spans="6:11" x14ac:dyDescent="0.25">
      <c r="F57" s="32"/>
      <c r="G57" s="32"/>
      <c r="H57" s="32"/>
      <c r="I57" s="32"/>
      <c r="J57" s="32"/>
      <c r="K57" s="32"/>
    </row>
    <row r="58" spans="6:11" x14ac:dyDescent="0.25">
      <c r="F58" s="2" t="s">
        <v>0</v>
      </c>
      <c r="G58" s="4">
        <v>46248</v>
      </c>
      <c r="H58" s="2" t="s">
        <v>2</v>
      </c>
      <c r="I58" s="1" t="s">
        <v>22</v>
      </c>
      <c r="J58" s="2" t="s">
        <v>11</v>
      </c>
      <c r="K58" s="1" t="s">
        <v>14</v>
      </c>
    </row>
    <row r="59" spans="6:11" x14ac:dyDescent="0.25">
      <c r="F59" s="32" t="s">
        <v>637</v>
      </c>
      <c r="G59" s="32"/>
      <c r="H59" s="32"/>
      <c r="I59" s="32"/>
      <c r="J59" s="32"/>
      <c r="K59" s="32"/>
    </row>
    <row r="60" spans="6:11" x14ac:dyDescent="0.25">
      <c r="F60" s="32"/>
      <c r="G60" s="32"/>
      <c r="H60" s="32"/>
      <c r="I60" s="32"/>
      <c r="J60" s="32"/>
      <c r="K60" s="32"/>
    </row>
    <row r="61" spans="6:11" x14ac:dyDescent="0.25">
      <c r="F61" s="32"/>
      <c r="G61" s="32"/>
      <c r="H61" s="32"/>
      <c r="I61" s="32"/>
      <c r="J61" s="32"/>
      <c r="K61" s="32"/>
    </row>
    <row r="62" spans="6:11" x14ac:dyDescent="0.25">
      <c r="F62" s="2" t="s">
        <v>0</v>
      </c>
      <c r="G62" s="4">
        <v>46253</v>
      </c>
      <c r="H62" s="2" t="s">
        <v>2</v>
      </c>
      <c r="I62" s="1" t="s">
        <v>22</v>
      </c>
      <c r="J62" s="2" t="s">
        <v>11</v>
      </c>
      <c r="K62" s="1" t="s">
        <v>14</v>
      </c>
    </row>
    <row r="63" spans="6:11" ht="14.45" customHeight="1" x14ac:dyDescent="0.25">
      <c r="F63" s="32" t="s">
        <v>934</v>
      </c>
      <c r="G63" s="32"/>
      <c r="H63" s="32"/>
      <c r="I63" s="32"/>
      <c r="J63" s="32"/>
      <c r="K63" s="32"/>
    </row>
    <row r="64" spans="6:11" x14ac:dyDescent="0.25">
      <c r="F64" s="32"/>
      <c r="G64" s="32"/>
      <c r="H64" s="32"/>
      <c r="I64" s="32"/>
      <c r="J64" s="32"/>
      <c r="K64" s="32"/>
    </row>
    <row r="65" spans="6:11" x14ac:dyDescent="0.25">
      <c r="F65" s="32"/>
      <c r="G65" s="32"/>
      <c r="H65" s="32"/>
      <c r="I65" s="32"/>
      <c r="J65" s="32"/>
      <c r="K65" s="32"/>
    </row>
    <row r="66" spans="6:11" x14ac:dyDescent="0.25">
      <c r="F66" s="32"/>
      <c r="G66" s="32"/>
      <c r="H66" s="32"/>
      <c r="I66" s="32"/>
      <c r="J66" s="32"/>
      <c r="K66" s="32"/>
    </row>
    <row r="67" spans="6:11" x14ac:dyDescent="0.25">
      <c r="F67" s="32"/>
      <c r="G67" s="32"/>
      <c r="H67" s="32"/>
      <c r="I67" s="32"/>
      <c r="J67" s="32"/>
      <c r="K67" s="32"/>
    </row>
    <row r="68" spans="6:11" x14ac:dyDescent="0.25">
      <c r="F68" s="2" t="s">
        <v>0</v>
      </c>
      <c r="G68" s="4">
        <v>46257</v>
      </c>
      <c r="H68" s="2" t="s">
        <v>2</v>
      </c>
      <c r="I68" s="1" t="s">
        <v>385</v>
      </c>
      <c r="J68" s="2" t="s">
        <v>11</v>
      </c>
      <c r="K68" s="1" t="s">
        <v>14</v>
      </c>
    </row>
    <row r="69" spans="6:11" x14ac:dyDescent="0.25">
      <c r="F69" s="32" t="s">
        <v>972</v>
      </c>
      <c r="G69" s="32"/>
      <c r="H69" s="32"/>
      <c r="I69" s="32"/>
      <c r="J69" s="32"/>
      <c r="K69" s="32"/>
    </row>
    <row r="70" spans="6:11" x14ac:dyDescent="0.25">
      <c r="F70" s="32"/>
      <c r="G70" s="32"/>
      <c r="H70" s="32"/>
      <c r="I70" s="32"/>
      <c r="J70" s="32"/>
      <c r="K70" s="32"/>
    </row>
    <row r="71" spans="6:11" x14ac:dyDescent="0.25">
      <c r="F71" s="32"/>
      <c r="G71" s="32"/>
      <c r="H71" s="32"/>
      <c r="I71" s="32"/>
      <c r="J71" s="32"/>
      <c r="K71" s="32"/>
    </row>
    <row r="72" spans="6:11" x14ac:dyDescent="0.25">
      <c r="F72" s="32"/>
      <c r="G72" s="32"/>
      <c r="H72" s="32"/>
      <c r="I72" s="32"/>
      <c r="J72" s="32"/>
      <c r="K72" s="32"/>
    </row>
    <row r="73" spans="6:11" x14ac:dyDescent="0.25">
      <c r="F73" s="32"/>
      <c r="G73" s="32"/>
      <c r="H73" s="32"/>
      <c r="I73" s="32"/>
      <c r="J73" s="32"/>
      <c r="K73" s="32"/>
    </row>
    <row r="74" spans="6:11" x14ac:dyDescent="0.25">
      <c r="F74" s="2" t="s">
        <v>0</v>
      </c>
      <c r="G74" s="4">
        <v>46262</v>
      </c>
      <c r="H74" s="2" t="s">
        <v>2</v>
      </c>
      <c r="I74" s="1" t="s">
        <v>16</v>
      </c>
      <c r="J74" s="2" t="s">
        <v>11</v>
      </c>
      <c r="K74" s="1" t="s">
        <v>14</v>
      </c>
    </row>
    <row r="75" spans="6:11" x14ac:dyDescent="0.25">
      <c r="F75" s="32" t="s">
        <v>1012</v>
      </c>
      <c r="G75" s="32"/>
      <c r="H75" s="32"/>
      <c r="I75" s="32"/>
      <c r="J75" s="32"/>
      <c r="K75" s="32"/>
    </row>
    <row r="76" spans="6:11" x14ac:dyDescent="0.25">
      <c r="F76" s="32"/>
      <c r="G76" s="32"/>
      <c r="H76" s="32"/>
      <c r="I76" s="32"/>
      <c r="J76" s="32"/>
      <c r="K76" s="32"/>
    </row>
    <row r="77" spans="6:11" x14ac:dyDescent="0.25">
      <c r="F77" s="32"/>
      <c r="G77" s="32"/>
      <c r="H77" s="32"/>
      <c r="I77" s="32"/>
      <c r="J77" s="32"/>
      <c r="K77" s="32"/>
    </row>
    <row r="78" spans="6:11" x14ac:dyDescent="0.25">
      <c r="F78" s="32"/>
      <c r="G78" s="32"/>
      <c r="H78" s="32"/>
      <c r="I78" s="32"/>
      <c r="J78" s="32"/>
      <c r="K78" s="32"/>
    </row>
    <row r="79" spans="6:11" x14ac:dyDescent="0.25">
      <c r="F79" s="32"/>
      <c r="G79" s="32"/>
      <c r="H79" s="32"/>
      <c r="I79" s="32"/>
      <c r="J79" s="32"/>
      <c r="K79" s="32"/>
    </row>
    <row r="80" spans="6:11" x14ac:dyDescent="0.25">
      <c r="F80" s="2" t="s">
        <v>0</v>
      </c>
      <c r="G80" s="4">
        <v>46263</v>
      </c>
      <c r="H80" s="2" t="s">
        <v>2</v>
      </c>
      <c r="I80" s="1" t="s">
        <v>16</v>
      </c>
      <c r="J80" s="2" t="s">
        <v>11</v>
      </c>
      <c r="K80" s="1" t="s">
        <v>14</v>
      </c>
    </row>
    <row r="81" spans="6:11" x14ac:dyDescent="0.25">
      <c r="F81" s="32" t="s">
        <v>637</v>
      </c>
      <c r="G81" s="32"/>
      <c r="H81" s="32"/>
      <c r="I81" s="32"/>
      <c r="J81" s="32"/>
      <c r="K81" s="32"/>
    </row>
    <row r="82" spans="6:11" x14ac:dyDescent="0.25">
      <c r="F82" s="32"/>
      <c r="G82" s="32"/>
      <c r="H82" s="32"/>
      <c r="I82" s="32"/>
      <c r="J82" s="32"/>
      <c r="K82" s="32"/>
    </row>
    <row r="83" spans="6:11" x14ac:dyDescent="0.25">
      <c r="F83" s="2" t="s">
        <v>0</v>
      </c>
      <c r="G83" s="4">
        <v>46267</v>
      </c>
      <c r="H83" s="2" t="s">
        <v>2</v>
      </c>
      <c r="I83" s="1" t="s">
        <v>22</v>
      </c>
      <c r="J83" s="2" t="s">
        <v>11</v>
      </c>
      <c r="K83" s="1" t="s">
        <v>14</v>
      </c>
    </row>
    <row r="84" spans="6:11" ht="14.45" customHeight="1" x14ac:dyDescent="0.25">
      <c r="F84" s="32" t="s">
        <v>1057</v>
      </c>
      <c r="G84" s="32"/>
      <c r="H84" s="32"/>
      <c r="I84" s="32"/>
      <c r="J84" s="32"/>
      <c r="K84" s="32"/>
    </row>
    <row r="85" spans="6:11" x14ac:dyDescent="0.25">
      <c r="F85" s="32"/>
      <c r="G85" s="32"/>
      <c r="H85" s="32"/>
      <c r="I85" s="32"/>
      <c r="J85" s="32"/>
      <c r="K85" s="32"/>
    </row>
    <row r="86" spans="6:11" x14ac:dyDescent="0.25">
      <c r="F86" s="32"/>
      <c r="G86" s="32"/>
      <c r="H86" s="32"/>
      <c r="I86" s="32"/>
      <c r="J86" s="32"/>
      <c r="K86" s="32"/>
    </row>
    <row r="87" spans="6:11" x14ac:dyDescent="0.25">
      <c r="F87" s="32"/>
      <c r="G87" s="32"/>
      <c r="H87" s="32"/>
      <c r="I87" s="32"/>
      <c r="J87" s="32"/>
      <c r="K87" s="32"/>
    </row>
    <row r="88" spans="6:11" x14ac:dyDescent="0.25">
      <c r="F88" s="2" t="s">
        <v>0</v>
      </c>
      <c r="G88" s="4">
        <v>46268</v>
      </c>
      <c r="H88" s="2" t="s">
        <v>2</v>
      </c>
      <c r="I88" s="1" t="s">
        <v>385</v>
      </c>
      <c r="J88" s="2" t="s">
        <v>11</v>
      </c>
      <c r="K88" s="1" t="s">
        <v>14</v>
      </c>
    </row>
    <row r="89" spans="6:11" ht="14.45" customHeight="1" x14ac:dyDescent="0.25">
      <c r="F89" s="32" t="s">
        <v>1080</v>
      </c>
      <c r="G89" s="32"/>
      <c r="H89" s="32"/>
      <c r="I89" s="32"/>
      <c r="J89" s="32"/>
      <c r="K89" s="32"/>
    </row>
    <row r="90" spans="6:11" x14ac:dyDescent="0.25">
      <c r="F90" s="32"/>
      <c r="G90" s="32"/>
      <c r="H90" s="32"/>
      <c r="I90" s="32"/>
      <c r="J90" s="32"/>
      <c r="K90" s="32"/>
    </row>
    <row r="91" spans="6:11" x14ac:dyDescent="0.25">
      <c r="F91" s="32"/>
      <c r="G91" s="32"/>
      <c r="H91" s="32"/>
      <c r="I91" s="32"/>
      <c r="J91" s="32"/>
      <c r="K91" s="32"/>
    </row>
    <row r="92" spans="6:11" x14ac:dyDescent="0.25">
      <c r="F92" s="32"/>
      <c r="G92" s="32"/>
      <c r="H92" s="32"/>
      <c r="I92" s="32"/>
      <c r="J92" s="32"/>
      <c r="K92" s="32"/>
    </row>
    <row r="93" spans="6:11" x14ac:dyDescent="0.25">
      <c r="F93" s="2" t="s">
        <v>0</v>
      </c>
      <c r="G93" s="4">
        <v>46270</v>
      </c>
      <c r="H93" s="2" t="s">
        <v>2</v>
      </c>
      <c r="I93" s="1" t="s">
        <v>47</v>
      </c>
      <c r="J93" s="2" t="s">
        <v>11</v>
      </c>
      <c r="K93" s="1" t="s">
        <v>14</v>
      </c>
    </row>
    <row r="94" spans="6:11" ht="14.45" customHeight="1" x14ac:dyDescent="0.25">
      <c r="F94" s="32" t="s">
        <v>1086</v>
      </c>
      <c r="G94" s="32"/>
      <c r="H94" s="32"/>
      <c r="I94" s="32"/>
      <c r="J94" s="32"/>
      <c r="K94" s="32"/>
    </row>
    <row r="95" spans="6:11" x14ac:dyDescent="0.25">
      <c r="F95" s="32"/>
      <c r="G95" s="32"/>
      <c r="H95" s="32"/>
      <c r="I95" s="32"/>
      <c r="J95" s="32"/>
      <c r="K95" s="32"/>
    </row>
    <row r="96" spans="6:11" x14ac:dyDescent="0.25">
      <c r="F96" s="32"/>
      <c r="G96" s="32"/>
      <c r="H96" s="32"/>
      <c r="I96" s="32"/>
      <c r="J96" s="32"/>
      <c r="K96" s="32"/>
    </row>
    <row r="97" spans="6:11" x14ac:dyDescent="0.25">
      <c r="F97" s="32"/>
      <c r="G97" s="32"/>
      <c r="H97" s="32"/>
      <c r="I97" s="32"/>
      <c r="J97" s="32"/>
      <c r="K97" s="32"/>
    </row>
    <row r="98" spans="6:11" x14ac:dyDescent="0.25">
      <c r="F98" s="2" t="s">
        <v>0</v>
      </c>
      <c r="G98" s="4">
        <v>46276</v>
      </c>
      <c r="H98" s="2" t="s">
        <v>2</v>
      </c>
      <c r="I98" s="1" t="s">
        <v>22</v>
      </c>
      <c r="J98" s="2" t="s">
        <v>11</v>
      </c>
      <c r="K98" s="1" t="s">
        <v>14</v>
      </c>
    </row>
    <row r="99" spans="6:11" ht="14.45" customHeight="1" x14ac:dyDescent="0.25">
      <c r="F99" s="32" t="s">
        <v>1133</v>
      </c>
      <c r="G99" s="32"/>
      <c r="H99" s="32"/>
      <c r="I99" s="32"/>
      <c r="J99" s="32"/>
      <c r="K99" s="32"/>
    </row>
    <row r="100" spans="6:11" x14ac:dyDescent="0.25">
      <c r="F100" s="32"/>
      <c r="G100" s="32"/>
      <c r="H100" s="32"/>
      <c r="I100" s="32"/>
      <c r="J100" s="32"/>
      <c r="K100" s="32"/>
    </row>
    <row r="101" spans="6:11" x14ac:dyDescent="0.25">
      <c r="F101" s="32"/>
      <c r="G101" s="32"/>
      <c r="H101" s="32"/>
      <c r="I101" s="32"/>
      <c r="J101" s="32"/>
      <c r="K101" s="32"/>
    </row>
    <row r="102" spans="6:11" x14ac:dyDescent="0.25">
      <c r="F102" s="32"/>
      <c r="G102" s="32"/>
      <c r="H102" s="32"/>
      <c r="I102" s="32"/>
      <c r="J102" s="32"/>
      <c r="K102" s="32"/>
    </row>
    <row r="103" spans="6:11" x14ac:dyDescent="0.25">
      <c r="F103" s="2" t="s">
        <v>0</v>
      </c>
      <c r="G103" s="4">
        <v>46277</v>
      </c>
      <c r="H103" s="2" t="s">
        <v>2</v>
      </c>
      <c r="I103" s="1" t="s">
        <v>22</v>
      </c>
      <c r="J103" s="2" t="s">
        <v>11</v>
      </c>
      <c r="K103" s="1" t="s">
        <v>14</v>
      </c>
    </row>
    <row r="104" spans="6:11" x14ac:dyDescent="0.25">
      <c r="F104" s="32" t="s">
        <v>1149</v>
      </c>
      <c r="G104" s="32"/>
      <c r="H104" s="32"/>
      <c r="I104" s="32"/>
      <c r="J104" s="32"/>
      <c r="K104" s="32"/>
    </row>
    <row r="105" spans="6:11" x14ac:dyDescent="0.25">
      <c r="F105" s="32"/>
      <c r="G105" s="32"/>
      <c r="H105" s="32"/>
      <c r="I105" s="32"/>
      <c r="J105" s="32"/>
      <c r="K105" s="32"/>
    </row>
    <row r="106" spans="6:11" x14ac:dyDescent="0.25">
      <c r="F106" s="32"/>
      <c r="G106" s="32"/>
      <c r="H106" s="32"/>
      <c r="I106" s="32"/>
      <c r="J106" s="32"/>
      <c r="K106" s="32"/>
    </row>
    <row r="107" spans="6:11" x14ac:dyDescent="0.25">
      <c r="F107" s="32"/>
      <c r="G107" s="32"/>
      <c r="H107" s="32"/>
      <c r="I107" s="32"/>
      <c r="J107" s="32"/>
      <c r="K107" s="32"/>
    </row>
    <row r="108" spans="6:11" x14ac:dyDescent="0.25">
      <c r="F108" s="2" t="s">
        <v>0</v>
      </c>
      <c r="G108" s="4">
        <v>46281</v>
      </c>
      <c r="H108" s="2" t="s">
        <v>2</v>
      </c>
      <c r="I108" s="1" t="s">
        <v>35</v>
      </c>
      <c r="J108" s="2" t="s">
        <v>11</v>
      </c>
      <c r="K108" s="1" t="s">
        <v>14</v>
      </c>
    </row>
    <row r="109" spans="6:11" x14ac:dyDescent="0.25">
      <c r="F109" s="32" t="s">
        <v>1179</v>
      </c>
      <c r="G109" s="32"/>
      <c r="H109" s="32"/>
      <c r="I109" s="32"/>
      <c r="J109" s="32"/>
      <c r="K109" s="32"/>
    </row>
    <row r="110" spans="6:11" x14ac:dyDescent="0.25">
      <c r="F110" s="32"/>
      <c r="G110" s="32"/>
      <c r="H110" s="32"/>
      <c r="I110" s="32"/>
      <c r="J110" s="32"/>
      <c r="K110" s="32"/>
    </row>
    <row r="111" spans="6:11" x14ac:dyDescent="0.25">
      <c r="F111" s="32"/>
      <c r="G111" s="32"/>
      <c r="H111" s="32"/>
      <c r="I111" s="32"/>
      <c r="J111" s="32"/>
      <c r="K111" s="32"/>
    </row>
    <row r="112" spans="6:11" x14ac:dyDescent="0.25">
      <c r="F112" s="32"/>
      <c r="G112" s="32"/>
      <c r="H112" s="32"/>
      <c r="I112" s="32"/>
      <c r="J112" s="32"/>
      <c r="K112" s="32"/>
    </row>
  </sheetData>
  <mergeCells count="28">
    <mergeCell ref="F31:K33"/>
    <mergeCell ref="F43:K45"/>
    <mergeCell ref="F109:K112"/>
    <mergeCell ref="F99:K102"/>
    <mergeCell ref="F89:K92"/>
    <mergeCell ref="F94:K97"/>
    <mergeCell ref="F84:K87"/>
    <mergeCell ref="F63:K67"/>
    <mergeCell ref="F75:K79"/>
    <mergeCell ref="F81:K82"/>
    <mergeCell ref="F39:K41"/>
    <mergeCell ref="F35:K37"/>
    <mergeCell ref="F14:K17"/>
    <mergeCell ref="F25:K29"/>
    <mergeCell ref="F19:K23"/>
    <mergeCell ref="F104:K107"/>
    <mergeCell ref="W1:X1"/>
    <mergeCell ref="M1:R1"/>
    <mergeCell ref="F10:K12"/>
    <mergeCell ref="F6:K8"/>
    <mergeCell ref="T1:U1"/>
    <mergeCell ref="F3:K4"/>
    <mergeCell ref="F1:K1"/>
    <mergeCell ref="F59:K61"/>
    <mergeCell ref="F55:K57"/>
    <mergeCell ref="F51:K53"/>
    <mergeCell ref="F47:K49"/>
    <mergeCell ref="F69:K7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302E-C18C-43D0-A6A5-53A6A8C52771}">
  <dimension ref="A1:X208"/>
  <sheetViews>
    <sheetView topLeftCell="B57" workbookViewId="0">
      <selection activeCell="F200" sqref="F200:K201"/>
    </sheetView>
  </sheetViews>
  <sheetFormatPr baseColWidth="10" defaultRowHeight="15" x14ac:dyDescent="0.25"/>
  <cols>
    <col min="1" max="1" width="11.5703125" style="7"/>
    <col min="2" max="2" width="56.7109375" style="7" bestFit="1" customWidth="1"/>
    <col min="3" max="3" width="11.5703125" style="7"/>
    <col min="4" max="4" width="50.7109375" style="7" bestFit="1" customWidth="1"/>
    <col min="13" max="13" width="12.42578125" bestFit="1" customWidth="1"/>
    <col min="20" max="20" width="21.28515625" bestFit="1" customWidth="1"/>
    <col min="21" max="21" width="26.5703125" bestFit="1" customWidth="1"/>
    <col min="23" max="23" width="11.5703125" style="7"/>
    <col min="24" max="24" width="15" style="7" bestFit="1" customWidth="1"/>
  </cols>
  <sheetData>
    <row r="1" spans="1:24" x14ac:dyDescent="0.25">
      <c r="A1" s="3" t="s">
        <v>0</v>
      </c>
      <c r="B1" s="3" t="s">
        <v>1</v>
      </c>
      <c r="C1" s="3" t="s">
        <v>2</v>
      </c>
      <c r="D1" s="3" t="s">
        <v>3</v>
      </c>
      <c r="F1" s="36" t="s">
        <v>4</v>
      </c>
      <c r="G1" s="36"/>
      <c r="H1" s="36"/>
      <c r="I1" s="36"/>
      <c r="J1" s="36"/>
      <c r="K1" s="36"/>
      <c r="M1" s="36" t="s">
        <v>5</v>
      </c>
      <c r="N1" s="36"/>
      <c r="O1" s="36"/>
      <c r="P1" s="36"/>
      <c r="Q1" s="36"/>
      <c r="R1" s="36"/>
      <c r="T1" s="34" t="s">
        <v>7</v>
      </c>
      <c r="U1" s="35"/>
      <c r="W1" s="33" t="s">
        <v>87</v>
      </c>
      <c r="X1" s="33"/>
    </row>
    <row r="2" spans="1:24" x14ac:dyDescent="0.25">
      <c r="A2" s="6">
        <v>46183</v>
      </c>
      <c r="B2" s="7" t="s">
        <v>343</v>
      </c>
      <c r="C2" s="7" t="s">
        <v>344</v>
      </c>
      <c r="D2" s="7" t="s">
        <v>345</v>
      </c>
      <c r="F2" s="2" t="s">
        <v>0</v>
      </c>
      <c r="G2" s="4">
        <v>46195</v>
      </c>
      <c r="H2" s="2" t="s">
        <v>2</v>
      </c>
      <c r="I2" s="1" t="s">
        <v>16</v>
      </c>
      <c r="J2" s="2" t="s">
        <v>11</v>
      </c>
      <c r="K2" s="1" t="s">
        <v>14</v>
      </c>
      <c r="M2" s="16" t="s">
        <v>0</v>
      </c>
      <c r="N2" s="4">
        <v>46093</v>
      </c>
      <c r="O2" s="22" t="s">
        <v>6</v>
      </c>
      <c r="P2" s="18" t="s">
        <v>282</v>
      </c>
      <c r="Q2" s="11" t="s">
        <v>11</v>
      </c>
      <c r="R2" s="8" t="s">
        <v>260</v>
      </c>
      <c r="T2" s="2" t="s">
        <v>11</v>
      </c>
      <c r="U2" s="8" t="s">
        <v>258</v>
      </c>
      <c r="W2" s="3" t="s">
        <v>0</v>
      </c>
      <c r="X2" s="3" t="s">
        <v>88</v>
      </c>
    </row>
    <row r="3" spans="1:24" x14ac:dyDescent="0.25">
      <c r="A3" s="6">
        <v>46184</v>
      </c>
      <c r="B3" s="7" t="s">
        <v>343</v>
      </c>
      <c r="C3" s="7" t="s">
        <v>344</v>
      </c>
      <c r="D3" s="7" t="s">
        <v>345</v>
      </c>
      <c r="F3" s="37" t="s">
        <v>21</v>
      </c>
      <c r="G3" s="37"/>
      <c r="H3" s="37"/>
      <c r="I3" s="37"/>
      <c r="J3" s="37"/>
      <c r="K3" s="37"/>
      <c r="M3" s="15" t="s">
        <v>283</v>
      </c>
      <c r="N3" s="3" t="s">
        <v>315</v>
      </c>
      <c r="O3" s="5"/>
      <c r="T3" s="2" t="s">
        <v>76</v>
      </c>
      <c r="U3" s="8" t="s">
        <v>259</v>
      </c>
    </row>
    <row r="4" spans="1:24" x14ac:dyDescent="0.25">
      <c r="A4" s="6">
        <v>46185</v>
      </c>
      <c r="B4" s="7" t="s">
        <v>343</v>
      </c>
      <c r="C4" s="7" t="s">
        <v>344</v>
      </c>
      <c r="D4" s="7" t="s">
        <v>345</v>
      </c>
      <c r="F4" s="37"/>
      <c r="G4" s="37"/>
      <c r="H4" s="37"/>
      <c r="I4" s="37"/>
      <c r="J4" s="37"/>
      <c r="K4" s="37"/>
      <c r="M4" s="15" t="s">
        <v>284</v>
      </c>
      <c r="N4" s="12" t="s">
        <v>314</v>
      </c>
      <c r="O4" s="12" t="s">
        <v>318</v>
      </c>
      <c r="T4" s="2" t="s">
        <v>77</v>
      </c>
      <c r="U4" s="8"/>
    </row>
    <row r="5" spans="1:24" x14ac:dyDescent="0.25">
      <c r="A5" s="6">
        <v>46195</v>
      </c>
      <c r="B5" s="7" t="s">
        <v>8</v>
      </c>
      <c r="C5" s="7" t="s">
        <v>9</v>
      </c>
      <c r="D5" s="7" t="s">
        <v>10</v>
      </c>
      <c r="F5" s="2" t="s">
        <v>0</v>
      </c>
      <c r="G5" s="4">
        <v>46196</v>
      </c>
      <c r="H5" s="2" t="s">
        <v>2</v>
      </c>
      <c r="I5" s="1" t="s">
        <v>35</v>
      </c>
      <c r="J5" s="2" t="s">
        <v>11</v>
      </c>
      <c r="K5" s="1" t="s">
        <v>36</v>
      </c>
      <c r="M5" s="11" t="s">
        <v>285</v>
      </c>
      <c r="N5" s="13">
        <v>1.6</v>
      </c>
      <c r="O5" s="25" t="s">
        <v>56</v>
      </c>
      <c r="T5" s="2" t="s">
        <v>78</v>
      </c>
      <c r="U5" s="8" t="s">
        <v>101</v>
      </c>
    </row>
    <row r="6" spans="1:24" x14ac:dyDescent="0.25">
      <c r="A6" s="6">
        <v>46195</v>
      </c>
      <c r="B6" s="7" t="s">
        <v>17</v>
      </c>
      <c r="C6" s="7" t="s">
        <v>18</v>
      </c>
      <c r="D6" s="7" t="s">
        <v>19</v>
      </c>
      <c r="F6" s="32" t="s">
        <v>37</v>
      </c>
      <c r="G6" s="32"/>
      <c r="H6" s="32"/>
      <c r="I6" s="32"/>
      <c r="J6" s="32"/>
      <c r="K6" s="32"/>
      <c r="M6" s="11" t="s">
        <v>286</v>
      </c>
      <c r="N6" s="14">
        <v>8.1999999999999993</v>
      </c>
      <c r="O6" s="26" t="s">
        <v>319</v>
      </c>
      <c r="T6" s="2" t="s">
        <v>92</v>
      </c>
      <c r="U6" s="8" t="s">
        <v>208</v>
      </c>
    </row>
    <row r="7" spans="1:24" x14ac:dyDescent="0.25">
      <c r="A7" s="6">
        <v>46196</v>
      </c>
      <c r="B7" s="7" t="s">
        <v>33</v>
      </c>
      <c r="C7" s="7" t="s">
        <v>18</v>
      </c>
      <c r="D7" s="7" t="s">
        <v>34</v>
      </c>
      <c r="F7" s="32"/>
      <c r="G7" s="32"/>
      <c r="H7" s="32"/>
      <c r="I7" s="32"/>
      <c r="J7" s="32"/>
      <c r="K7" s="32"/>
      <c r="M7" s="11" t="s">
        <v>287</v>
      </c>
      <c r="N7" s="1">
        <v>0.26</v>
      </c>
      <c r="O7" s="7" t="s">
        <v>320</v>
      </c>
      <c r="T7" s="2" t="s">
        <v>80</v>
      </c>
      <c r="U7" s="8"/>
    </row>
    <row r="8" spans="1:24" x14ac:dyDescent="0.25">
      <c r="A8" s="6">
        <v>46204</v>
      </c>
      <c r="B8" s="7" t="s">
        <v>375</v>
      </c>
      <c r="C8" s="7" t="s">
        <v>376</v>
      </c>
      <c r="D8" s="7" t="s">
        <v>405</v>
      </c>
      <c r="F8" s="2" t="s">
        <v>0</v>
      </c>
      <c r="G8" s="4">
        <v>46204</v>
      </c>
      <c r="H8" s="2" t="s">
        <v>2</v>
      </c>
      <c r="I8" s="1" t="s">
        <v>357</v>
      </c>
      <c r="J8" s="2" t="s">
        <v>11</v>
      </c>
      <c r="K8" s="1" t="s">
        <v>358</v>
      </c>
      <c r="M8" s="11" t="s">
        <v>288</v>
      </c>
      <c r="N8" s="1">
        <v>1.68</v>
      </c>
      <c r="O8" s="25" t="s">
        <v>319</v>
      </c>
      <c r="T8" s="2" t="s">
        <v>81</v>
      </c>
      <c r="U8" s="8"/>
    </row>
    <row r="9" spans="1:24" ht="14.45" customHeight="1" x14ac:dyDescent="0.25">
      <c r="A9" s="6">
        <v>46205</v>
      </c>
      <c r="B9" s="7" t="s">
        <v>387</v>
      </c>
      <c r="C9" s="7" t="s">
        <v>385</v>
      </c>
      <c r="D9" s="7" t="s">
        <v>388</v>
      </c>
      <c r="F9" s="32" t="s">
        <v>359</v>
      </c>
      <c r="G9" s="32"/>
      <c r="H9" s="32"/>
      <c r="I9" s="32"/>
      <c r="J9" s="32"/>
      <c r="K9" s="32"/>
      <c r="M9" s="11" t="s">
        <v>289</v>
      </c>
      <c r="N9" s="13">
        <v>2.9</v>
      </c>
      <c r="O9" s="25" t="s">
        <v>319</v>
      </c>
      <c r="T9" s="2" t="s">
        <v>82</v>
      </c>
      <c r="U9" s="8">
        <f>U10+U11</f>
        <v>0.2727</v>
      </c>
    </row>
    <row r="10" spans="1:24" x14ac:dyDescent="0.25">
      <c r="A10" s="6">
        <v>46206</v>
      </c>
      <c r="B10" s="7" t="s">
        <v>390</v>
      </c>
      <c r="C10" s="7" t="s">
        <v>63</v>
      </c>
      <c r="D10" s="7" t="s">
        <v>392</v>
      </c>
      <c r="F10" s="32"/>
      <c r="G10" s="32"/>
      <c r="H10" s="32"/>
      <c r="I10" s="32"/>
      <c r="J10" s="32"/>
      <c r="K10" s="32"/>
      <c r="M10" s="11" t="s">
        <v>290</v>
      </c>
      <c r="N10" s="13">
        <v>14</v>
      </c>
      <c r="O10" s="25" t="s">
        <v>321</v>
      </c>
      <c r="T10" s="2" t="s">
        <v>83</v>
      </c>
      <c r="U10" s="8">
        <v>0.2727</v>
      </c>
    </row>
    <row r="11" spans="1:24" x14ac:dyDescent="0.25">
      <c r="A11" s="6">
        <v>46206</v>
      </c>
      <c r="B11" s="7" t="s">
        <v>387</v>
      </c>
      <c r="C11" s="7" t="s">
        <v>385</v>
      </c>
      <c r="D11" s="7" t="s">
        <v>404</v>
      </c>
      <c r="F11" s="32"/>
      <c r="G11" s="32"/>
      <c r="H11" s="32"/>
      <c r="I11" s="32"/>
      <c r="J11" s="32"/>
      <c r="K11" s="32"/>
      <c r="M11" s="11" t="s">
        <v>291</v>
      </c>
      <c r="N11" s="1">
        <v>3.9</v>
      </c>
      <c r="O11" s="7" t="s">
        <v>320</v>
      </c>
      <c r="T11" s="2" t="s">
        <v>84</v>
      </c>
      <c r="U11" s="10">
        <v>0</v>
      </c>
    </row>
    <row r="12" spans="1:24" x14ac:dyDescent="0.25">
      <c r="A12" s="6">
        <v>46206</v>
      </c>
      <c r="B12" s="7" t="s">
        <v>375</v>
      </c>
      <c r="C12" s="7" t="s">
        <v>385</v>
      </c>
      <c r="D12" s="7" t="s">
        <v>406</v>
      </c>
      <c r="F12" s="2" t="s">
        <v>0</v>
      </c>
      <c r="G12" s="4">
        <v>46204</v>
      </c>
      <c r="H12" s="2" t="s">
        <v>2</v>
      </c>
      <c r="I12" s="1" t="s">
        <v>371</v>
      </c>
      <c r="J12" s="2" t="s">
        <v>11</v>
      </c>
      <c r="K12" s="1" t="s">
        <v>370</v>
      </c>
      <c r="M12" s="11" t="s">
        <v>292</v>
      </c>
      <c r="N12" s="13">
        <v>0.18</v>
      </c>
      <c r="O12" s="25" t="s">
        <v>319</v>
      </c>
      <c r="T12" s="2" t="s">
        <v>115</v>
      </c>
      <c r="U12" s="8"/>
    </row>
    <row r="13" spans="1:24" x14ac:dyDescent="0.25">
      <c r="A13" s="6">
        <v>46209</v>
      </c>
      <c r="B13" s="7" t="s">
        <v>431</v>
      </c>
      <c r="C13" s="7" t="s">
        <v>418</v>
      </c>
      <c r="D13" s="7" t="s">
        <v>56</v>
      </c>
      <c r="F13" s="37" t="s">
        <v>372</v>
      </c>
      <c r="G13" s="37"/>
      <c r="H13" s="37"/>
      <c r="I13" s="37"/>
      <c r="J13" s="37"/>
      <c r="K13" s="37"/>
      <c r="M13" s="11" t="s">
        <v>293</v>
      </c>
      <c r="N13" s="14">
        <v>13</v>
      </c>
      <c r="O13" s="26" t="s">
        <v>321</v>
      </c>
      <c r="T13" s="2" t="s">
        <v>11</v>
      </c>
      <c r="U13" s="8" t="s">
        <v>260</v>
      </c>
    </row>
    <row r="14" spans="1:24" x14ac:dyDescent="0.25">
      <c r="A14" s="6">
        <v>46210</v>
      </c>
      <c r="B14" s="7" t="s">
        <v>8</v>
      </c>
      <c r="C14" s="7" t="s">
        <v>18</v>
      </c>
      <c r="D14" s="7" t="s">
        <v>445</v>
      </c>
      <c r="F14" s="37"/>
      <c r="G14" s="37"/>
      <c r="H14" s="37"/>
      <c r="I14" s="37"/>
      <c r="J14" s="37"/>
      <c r="K14" s="37"/>
      <c r="M14" s="11" t="s">
        <v>294</v>
      </c>
      <c r="N14" s="1">
        <v>74.599999999999994</v>
      </c>
      <c r="O14" s="7" t="s">
        <v>323</v>
      </c>
      <c r="T14" s="2" t="s">
        <v>76</v>
      </c>
      <c r="U14" s="8" t="s">
        <v>262</v>
      </c>
    </row>
    <row r="15" spans="1:24" x14ac:dyDescent="0.25">
      <c r="A15" s="6">
        <v>46212</v>
      </c>
      <c r="B15" s="7" t="s">
        <v>30</v>
      </c>
      <c r="C15" s="7" t="s">
        <v>473</v>
      </c>
      <c r="D15" s="7" t="s">
        <v>474</v>
      </c>
      <c r="F15" s="2" t="s">
        <v>0</v>
      </c>
      <c r="G15" s="4">
        <v>46204</v>
      </c>
      <c r="H15" s="2" t="s">
        <v>2</v>
      </c>
      <c r="I15" s="1" t="s">
        <v>371</v>
      </c>
      <c r="J15" s="2" t="s">
        <v>11</v>
      </c>
      <c r="K15" s="1" t="s">
        <v>261</v>
      </c>
      <c r="M15" s="11" t="s">
        <v>295</v>
      </c>
      <c r="N15" s="1">
        <v>485</v>
      </c>
      <c r="O15" s="7" t="s">
        <v>319</v>
      </c>
      <c r="T15" s="2" t="s">
        <v>77</v>
      </c>
      <c r="U15" s="8"/>
    </row>
    <row r="16" spans="1:24" ht="14.45" customHeight="1" x14ac:dyDescent="0.25">
      <c r="A16" s="6">
        <v>46212</v>
      </c>
      <c r="B16" s="7" t="s">
        <v>30</v>
      </c>
      <c r="C16" s="7" t="s">
        <v>473</v>
      </c>
      <c r="D16" s="7" t="s">
        <v>717</v>
      </c>
      <c r="F16" s="37" t="s">
        <v>373</v>
      </c>
      <c r="G16" s="37"/>
      <c r="H16" s="37"/>
      <c r="I16" s="37"/>
      <c r="J16" s="37"/>
      <c r="K16" s="37"/>
      <c r="M16" s="11" t="s">
        <v>296</v>
      </c>
      <c r="N16" s="8">
        <v>6786</v>
      </c>
      <c r="O16" s="7" t="s">
        <v>323</v>
      </c>
      <c r="T16" s="2" t="s">
        <v>78</v>
      </c>
      <c r="U16" s="8" t="s">
        <v>101</v>
      </c>
    </row>
    <row r="17" spans="1:21" x14ac:dyDescent="0.25">
      <c r="A17" s="6">
        <v>46213</v>
      </c>
      <c r="B17" s="7" t="s">
        <v>375</v>
      </c>
      <c r="C17" s="7" t="s">
        <v>47</v>
      </c>
      <c r="D17" s="7" t="s">
        <v>406</v>
      </c>
      <c r="F17" s="37"/>
      <c r="G17" s="37"/>
      <c r="H17" s="37"/>
      <c r="I17" s="37"/>
      <c r="J17" s="37"/>
      <c r="K17" s="37"/>
      <c r="M17" s="11" t="s">
        <v>297</v>
      </c>
      <c r="N17" s="8">
        <v>242</v>
      </c>
      <c r="O17" s="7" t="s">
        <v>319</v>
      </c>
      <c r="T17" s="2" t="s">
        <v>92</v>
      </c>
      <c r="U17" s="8" t="s">
        <v>261</v>
      </c>
    </row>
    <row r="18" spans="1:21" x14ac:dyDescent="0.25">
      <c r="A18" s="6">
        <v>46220</v>
      </c>
      <c r="B18" s="7" t="s">
        <v>375</v>
      </c>
      <c r="C18" s="7" t="s">
        <v>47</v>
      </c>
      <c r="D18" s="7" t="s">
        <v>406</v>
      </c>
      <c r="F18" s="37"/>
      <c r="G18" s="37"/>
      <c r="H18" s="37"/>
      <c r="I18" s="37"/>
      <c r="J18" s="37"/>
      <c r="K18" s="37"/>
      <c r="M18" s="11" t="s">
        <v>298</v>
      </c>
      <c r="N18" s="8">
        <v>26</v>
      </c>
      <c r="O18" s="7" t="s">
        <v>320</v>
      </c>
      <c r="T18" s="2" t="s">
        <v>80</v>
      </c>
      <c r="U18" s="7" t="s">
        <v>263</v>
      </c>
    </row>
    <row r="19" spans="1:21" x14ac:dyDescent="0.25">
      <c r="A19" s="6">
        <v>46221</v>
      </c>
      <c r="B19" s="7" t="s">
        <v>375</v>
      </c>
      <c r="C19" s="7" t="s">
        <v>18</v>
      </c>
      <c r="D19" s="7" t="s">
        <v>571</v>
      </c>
      <c r="F19" s="37"/>
      <c r="G19" s="37"/>
      <c r="H19" s="37"/>
      <c r="I19" s="37"/>
      <c r="J19" s="37"/>
      <c r="K19" s="37"/>
      <c r="M19" s="11" t="s">
        <v>299</v>
      </c>
      <c r="N19" s="8">
        <v>0.95</v>
      </c>
      <c r="O19" s="7" t="s">
        <v>322</v>
      </c>
      <c r="T19" s="2" t="s">
        <v>81</v>
      </c>
      <c r="U19" s="8"/>
    </row>
    <row r="20" spans="1:21" x14ac:dyDescent="0.25">
      <c r="A20" s="6">
        <v>46223</v>
      </c>
      <c r="B20" s="7" t="s">
        <v>569</v>
      </c>
      <c r="C20" s="7" t="s">
        <v>47</v>
      </c>
      <c r="D20" s="7" t="s">
        <v>570</v>
      </c>
      <c r="F20" s="2" t="s">
        <v>0</v>
      </c>
      <c r="G20" s="4">
        <v>46205</v>
      </c>
      <c r="H20" s="2" t="s">
        <v>2</v>
      </c>
      <c r="I20" s="1" t="s">
        <v>385</v>
      </c>
      <c r="J20" s="2" t="s">
        <v>11</v>
      </c>
      <c r="K20" s="1" t="s">
        <v>261</v>
      </c>
      <c r="M20" s="11" t="s">
        <v>300</v>
      </c>
      <c r="N20" s="8">
        <v>295</v>
      </c>
      <c r="O20" s="7" t="s">
        <v>319</v>
      </c>
      <c r="T20" s="2" t="s">
        <v>82</v>
      </c>
      <c r="U20" s="8">
        <f>U21+U22</f>
        <v>0.40989999999999999</v>
      </c>
    </row>
    <row r="21" spans="1:21" x14ac:dyDescent="0.25">
      <c r="A21" s="6">
        <v>46224</v>
      </c>
      <c r="B21" s="7" t="s">
        <v>583</v>
      </c>
      <c r="C21" s="7" t="s">
        <v>47</v>
      </c>
      <c r="D21" s="7" t="s">
        <v>584</v>
      </c>
      <c r="F21" s="37" t="s">
        <v>386</v>
      </c>
      <c r="G21" s="37"/>
      <c r="H21" s="37"/>
      <c r="I21" s="37"/>
      <c r="J21" s="37"/>
      <c r="K21" s="37"/>
      <c r="M21" s="11" t="s">
        <v>301</v>
      </c>
      <c r="N21" s="8">
        <v>12.3</v>
      </c>
      <c r="O21" s="7" t="s">
        <v>322</v>
      </c>
      <c r="T21" s="2" t="s">
        <v>83</v>
      </c>
      <c r="U21" s="8">
        <v>0.3977</v>
      </c>
    </row>
    <row r="22" spans="1:21" x14ac:dyDescent="0.25">
      <c r="A22" s="6">
        <v>46224</v>
      </c>
      <c r="B22" s="7" t="s">
        <v>585</v>
      </c>
      <c r="C22" s="7" t="s">
        <v>22</v>
      </c>
      <c r="D22" s="7" t="s">
        <v>586</v>
      </c>
      <c r="F22" s="37"/>
      <c r="G22" s="37"/>
      <c r="H22" s="37"/>
      <c r="I22" s="37"/>
      <c r="J22" s="37"/>
      <c r="K22" s="37"/>
      <c r="M22" s="11" t="s">
        <v>302</v>
      </c>
      <c r="N22" s="8">
        <v>227</v>
      </c>
      <c r="O22" s="7" t="s">
        <v>322</v>
      </c>
      <c r="T22" s="2" t="s">
        <v>84</v>
      </c>
      <c r="U22" s="10">
        <v>1.2200000000000001E-2</v>
      </c>
    </row>
    <row r="23" spans="1:21" x14ac:dyDescent="0.25">
      <c r="A23" s="6">
        <v>46225</v>
      </c>
      <c r="B23" s="7" t="s">
        <v>585</v>
      </c>
      <c r="C23" s="7" t="s">
        <v>22</v>
      </c>
      <c r="D23" s="7" t="s">
        <v>602</v>
      </c>
      <c r="F23" s="37"/>
      <c r="G23" s="37"/>
      <c r="H23" s="37"/>
      <c r="I23" s="37"/>
      <c r="J23" s="37"/>
      <c r="K23" s="37"/>
      <c r="M23" s="11" t="s">
        <v>303</v>
      </c>
      <c r="N23" s="8">
        <v>45</v>
      </c>
      <c r="O23" s="7" t="s">
        <v>323</v>
      </c>
      <c r="T23" s="2" t="s">
        <v>115</v>
      </c>
      <c r="U23" s="8"/>
    </row>
    <row r="24" spans="1:21" x14ac:dyDescent="0.25">
      <c r="A24" s="6">
        <v>46225</v>
      </c>
      <c r="B24" s="7" t="s">
        <v>603</v>
      </c>
      <c r="C24" s="7" t="s">
        <v>47</v>
      </c>
      <c r="D24" s="7" t="s">
        <v>273</v>
      </c>
      <c r="F24" s="37"/>
      <c r="G24" s="37"/>
      <c r="H24" s="37"/>
      <c r="I24" s="37"/>
      <c r="J24" s="37"/>
      <c r="K24" s="37"/>
      <c r="M24" s="11" t="s">
        <v>304</v>
      </c>
      <c r="N24" s="8">
        <v>0.25</v>
      </c>
      <c r="O24" s="25" t="s">
        <v>322</v>
      </c>
      <c r="T24" s="2" t="s">
        <v>11</v>
      </c>
      <c r="U24" s="8" t="s">
        <v>264</v>
      </c>
    </row>
    <row r="25" spans="1:21" x14ac:dyDescent="0.25">
      <c r="A25" s="6">
        <v>46225</v>
      </c>
      <c r="B25" s="7" t="s">
        <v>604</v>
      </c>
      <c r="C25" s="7" t="s">
        <v>350</v>
      </c>
      <c r="D25" s="7" t="s">
        <v>605</v>
      </c>
      <c r="F25" s="2" t="s">
        <v>0</v>
      </c>
      <c r="G25" s="4">
        <v>46205</v>
      </c>
      <c r="H25" s="2" t="s">
        <v>2</v>
      </c>
      <c r="I25" s="1" t="s">
        <v>385</v>
      </c>
      <c r="J25" s="2" t="s">
        <v>11</v>
      </c>
      <c r="K25" s="1" t="s">
        <v>370</v>
      </c>
      <c r="M25" s="11" t="s">
        <v>305</v>
      </c>
      <c r="N25" s="8">
        <v>9.1</v>
      </c>
      <c r="O25" s="7" t="s">
        <v>324</v>
      </c>
      <c r="T25" s="2" t="s">
        <v>76</v>
      </c>
      <c r="U25" s="8" t="s">
        <v>265</v>
      </c>
    </row>
    <row r="26" spans="1:21" x14ac:dyDescent="0.25">
      <c r="A26" s="6">
        <v>46226</v>
      </c>
      <c r="B26" s="7" t="s">
        <v>390</v>
      </c>
      <c r="C26" s="7" t="s">
        <v>63</v>
      </c>
      <c r="D26" s="7" t="s">
        <v>613</v>
      </c>
      <c r="F26" s="37" t="s">
        <v>389</v>
      </c>
      <c r="G26" s="37"/>
      <c r="H26" s="37"/>
      <c r="I26" s="37"/>
      <c r="J26" s="37"/>
      <c r="K26" s="37"/>
      <c r="M26" s="11" t="s">
        <v>306</v>
      </c>
      <c r="N26" s="24">
        <v>28</v>
      </c>
      <c r="O26" s="26" t="s">
        <v>325</v>
      </c>
      <c r="T26" s="2" t="s">
        <v>77</v>
      </c>
      <c r="U26" s="8"/>
    </row>
    <row r="27" spans="1:21" x14ac:dyDescent="0.25">
      <c r="A27" s="6">
        <v>46226</v>
      </c>
      <c r="B27" s="7" t="s">
        <v>621</v>
      </c>
      <c r="C27" s="7" t="s">
        <v>622</v>
      </c>
      <c r="D27" s="7" t="s">
        <v>623</v>
      </c>
      <c r="F27" s="37"/>
      <c r="G27" s="37"/>
      <c r="H27" s="37"/>
      <c r="I27" s="37"/>
      <c r="J27" s="37"/>
      <c r="K27" s="37"/>
      <c r="M27" s="11" t="s">
        <v>307</v>
      </c>
      <c r="N27" s="8">
        <v>0.5</v>
      </c>
      <c r="O27" s="7" t="s">
        <v>325</v>
      </c>
      <c r="T27" s="2" t="s">
        <v>78</v>
      </c>
      <c r="U27" s="8" t="s">
        <v>101</v>
      </c>
    </row>
    <row r="28" spans="1:21" x14ac:dyDescent="0.25">
      <c r="A28" s="6">
        <v>46227</v>
      </c>
      <c r="B28" s="7" t="s">
        <v>381</v>
      </c>
      <c r="C28" s="7" t="s">
        <v>47</v>
      </c>
      <c r="D28" s="7" t="s">
        <v>638</v>
      </c>
      <c r="F28" s="2" t="s">
        <v>0</v>
      </c>
      <c r="G28" s="4">
        <v>46206</v>
      </c>
      <c r="H28" s="2" t="s">
        <v>2</v>
      </c>
      <c r="I28" s="1" t="s">
        <v>385</v>
      </c>
      <c r="J28" s="2" t="s">
        <v>11</v>
      </c>
      <c r="K28" s="1" t="s">
        <v>14</v>
      </c>
      <c r="M28" s="11" t="s">
        <v>308</v>
      </c>
      <c r="N28" s="8">
        <v>14</v>
      </c>
      <c r="O28" s="7" t="s">
        <v>324</v>
      </c>
      <c r="T28" s="2" t="s">
        <v>92</v>
      </c>
      <c r="U28" s="8" t="s">
        <v>261</v>
      </c>
    </row>
    <row r="29" spans="1:21" x14ac:dyDescent="0.25">
      <c r="A29" s="6">
        <v>46231</v>
      </c>
      <c r="B29" s="7" t="s">
        <v>674</v>
      </c>
      <c r="C29" s="7" t="s">
        <v>47</v>
      </c>
      <c r="D29" s="7" t="s">
        <v>675</v>
      </c>
      <c r="F29" s="32" t="s">
        <v>409</v>
      </c>
      <c r="G29" s="32"/>
      <c r="H29" s="32"/>
      <c r="I29" s="32"/>
      <c r="J29" s="32"/>
      <c r="K29" s="32"/>
      <c r="M29" s="11" t="s">
        <v>309</v>
      </c>
      <c r="N29" s="8">
        <v>21.8</v>
      </c>
      <c r="O29" s="7" t="s">
        <v>56</v>
      </c>
      <c r="T29" s="2" t="s">
        <v>80</v>
      </c>
      <c r="U29" s="7" t="s">
        <v>263</v>
      </c>
    </row>
    <row r="30" spans="1:21" x14ac:dyDescent="0.25">
      <c r="A30" s="6">
        <v>46234</v>
      </c>
      <c r="B30" s="7" t="s">
        <v>343</v>
      </c>
      <c r="C30" s="7" t="s">
        <v>344</v>
      </c>
      <c r="D30" s="7" t="s">
        <v>1029</v>
      </c>
      <c r="F30" s="32"/>
      <c r="G30" s="32"/>
      <c r="H30" s="32"/>
      <c r="I30" s="32"/>
      <c r="J30" s="32"/>
      <c r="K30" s="32"/>
      <c r="M30" s="11" t="s">
        <v>310</v>
      </c>
      <c r="N30" s="8">
        <v>28.4</v>
      </c>
      <c r="O30" s="7" t="s">
        <v>56</v>
      </c>
      <c r="T30" s="2" t="s">
        <v>81</v>
      </c>
      <c r="U30" s="8"/>
    </row>
    <row r="31" spans="1:21" x14ac:dyDescent="0.25">
      <c r="A31" s="6">
        <v>46234</v>
      </c>
      <c r="B31" s="7" t="s">
        <v>8</v>
      </c>
      <c r="C31" s="7" t="s">
        <v>22</v>
      </c>
      <c r="D31" s="7" t="s">
        <v>718</v>
      </c>
      <c r="F31" s="2" t="s">
        <v>0</v>
      </c>
      <c r="G31" s="4">
        <v>46209</v>
      </c>
      <c r="H31" s="2" t="s">
        <v>2</v>
      </c>
      <c r="I31" s="1" t="s">
        <v>436</v>
      </c>
      <c r="J31" s="2" t="s">
        <v>11</v>
      </c>
      <c r="K31" s="1" t="s">
        <v>261</v>
      </c>
      <c r="M31" s="11" t="s">
        <v>311</v>
      </c>
      <c r="N31" s="8">
        <v>49.8</v>
      </c>
      <c r="O31" s="7" t="s">
        <v>56</v>
      </c>
      <c r="T31" s="2" t="s">
        <v>82</v>
      </c>
      <c r="U31" s="8">
        <f>U32+U33</f>
        <v>0.42770000000000002</v>
      </c>
    </row>
    <row r="32" spans="1:21" ht="14.45" customHeight="1" x14ac:dyDescent="0.25">
      <c r="A32" s="6">
        <v>46237</v>
      </c>
      <c r="B32" s="7" t="s">
        <v>736</v>
      </c>
      <c r="C32" s="7" t="s">
        <v>22</v>
      </c>
      <c r="D32" s="7" t="s">
        <v>737</v>
      </c>
      <c r="F32" s="37" t="s">
        <v>435</v>
      </c>
      <c r="G32" s="37"/>
      <c r="H32" s="37"/>
      <c r="I32" s="37"/>
      <c r="J32" s="37"/>
      <c r="K32" s="37"/>
      <c r="T32" s="2" t="s">
        <v>83</v>
      </c>
      <c r="U32" s="8">
        <v>0.4234</v>
      </c>
    </row>
    <row r="33" spans="1:21" x14ac:dyDescent="0.25">
      <c r="A33" s="6">
        <v>46238</v>
      </c>
      <c r="B33" s="7" t="s">
        <v>760</v>
      </c>
      <c r="C33" s="7" t="s">
        <v>47</v>
      </c>
      <c r="D33" s="7" t="s">
        <v>761</v>
      </c>
      <c r="F33" s="37"/>
      <c r="G33" s="37"/>
      <c r="H33" s="37"/>
      <c r="I33" s="37"/>
      <c r="J33" s="37"/>
      <c r="K33" s="37"/>
      <c r="T33" s="2" t="s">
        <v>84</v>
      </c>
      <c r="U33" s="10">
        <v>4.3E-3</v>
      </c>
    </row>
    <row r="34" spans="1:21" x14ac:dyDescent="0.25">
      <c r="A34" s="6">
        <v>46241</v>
      </c>
      <c r="B34" s="7" t="s">
        <v>381</v>
      </c>
      <c r="C34" s="7" t="s">
        <v>385</v>
      </c>
      <c r="D34" s="7" t="s">
        <v>817</v>
      </c>
      <c r="F34" s="37"/>
      <c r="G34" s="37"/>
      <c r="H34" s="37"/>
      <c r="I34" s="37"/>
      <c r="J34" s="37"/>
      <c r="K34" s="37"/>
      <c r="T34" s="2" t="s">
        <v>115</v>
      </c>
      <c r="U34" s="8"/>
    </row>
    <row r="35" spans="1:21" x14ac:dyDescent="0.25">
      <c r="A35" s="6">
        <v>46244</v>
      </c>
      <c r="B35" s="7" t="s">
        <v>850</v>
      </c>
      <c r="C35" s="7" t="s">
        <v>733</v>
      </c>
      <c r="D35" s="7" t="s">
        <v>273</v>
      </c>
      <c r="F35" s="37"/>
      <c r="G35" s="37"/>
      <c r="H35" s="37"/>
      <c r="I35" s="37"/>
      <c r="J35" s="37"/>
      <c r="K35" s="37"/>
      <c r="T35" s="2" t="s">
        <v>11</v>
      </c>
      <c r="U35" s="8" t="s">
        <v>266</v>
      </c>
    </row>
    <row r="36" spans="1:21" x14ac:dyDescent="0.25">
      <c r="A36" s="6">
        <v>46244</v>
      </c>
      <c r="B36" s="7" t="s">
        <v>851</v>
      </c>
      <c r="C36" s="7" t="s">
        <v>22</v>
      </c>
      <c r="D36" s="7" t="s">
        <v>273</v>
      </c>
      <c r="F36" s="37"/>
      <c r="G36" s="37"/>
      <c r="H36" s="37"/>
      <c r="I36" s="37"/>
      <c r="J36" s="37"/>
      <c r="K36" s="37"/>
      <c r="T36" s="2" t="s">
        <v>76</v>
      </c>
      <c r="U36" s="8" t="s">
        <v>267</v>
      </c>
    </row>
    <row r="37" spans="1:21" x14ac:dyDescent="0.25">
      <c r="A37" s="6">
        <v>46244</v>
      </c>
      <c r="B37" s="7" t="s">
        <v>853</v>
      </c>
      <c r="C37" s="7" t="s">
        <v>47</v>
      </c>
      <c r="D37" s="7" t="s">
        <v>272</v>
      </c>
      <c r="F37" s="37"/>
      <c r="G37" s="37"/>
      <c r="H37" s="37"/>
      <c r="I37" s="37"/>
      <c r="J37" s="37"/>
      <c r="K37" s="37"/>
      <c r="T37" s="2" t="s">
        <v>77</v>
      </c>
      <c r="U37" s="8"/>
    </row>
    <row r="38" spans="1:21" ht="14.45" customHeight="1" x14ac:dyDescent="0.25">
      <c r="A38" s="6">
        <v>46245</v>
      </c>
      <c r="B38" s="7" t="s">
        <v>667</v>
      </c>
      <c r="C38" s="7" t="s">
        <v>35</v>
      </c>
      <c r="D38" s="7" t="s">
        <v>273</v>
      </c>
      <c r="F38" s="37"/>
      <c r="G38" s="37"/>
      <c r="H38" s="37"/>
      <c r="I38" s="37"/>
      <c r="J38" s="37"/>
      <c r="K38" s="37"/>
      <c r="T38" s="2" t="s">
        <v>78</v>
      </c>
      <c r="U38" s="8" t="s">
        <v>101</v>
      </c>
    </row>
    <row r="39" spans="1:21" x14ac:dyDescent="0.25">
      <c r="A39" s="6">
        <v>46245</v>
      </c>
      <c r="B39" s="7" t="s">
        <v>871</v>
      </c>
      <c r="C39" s="7" t="s">
        <v>47</v>
      </c>
      <c r="D39" s="7" t="s">
        <v>272</v>
      </c>
      <c r="F39" s="37"/>
      <c r="G39" s="37"/>
      <c r="H39" s="37"/>
      <c r="I39" s="37"/>
      <c r="J39" s="37"/>
      <c r="K39" s="37"/>
      <c r="T39" s="2" t="s">
        <v>92</v>
      </c>
      <c r="U39" s="8" t="s">
        <v>261</v>
      </c>
    </row>
    <row r="40" spans="1:21" x14ac:dyDescent="0.25">
      <c r="A40" s="6">
        <v>46246</v>
      </c>
      <c r="B40" s="7" t="s">
        <v>866</v>
      </c>
      <c r="C40" s="7" t="s">
        <v>31</v>
      </c>
      <c r="D40" s="7" t="s">
        <v>876</v>
      </c>
      <c r="F40" s="37"/>
      <c r="G40" s="37"/>
      <c r="H40" s="37"/>
      <c r="I40" s="37"/>
      <c r="J40" s="37"/>
      <c r="K40" s="37"/>
      <c r="T40" s="2" t="s">
        <v>80</v>
      </c>
      <c r="U40" s="7" t="s">
        <v>263</v>
      </c>
    </row>
    <row r="41" spans="1:21" x14ac:dyDescent="0.25">
      <c r="A41" s="6">
        <v>46246</v>
      </c>
      <c r="B41" s="7" t="s">
        <v>874</v>
      </c>
      <c r="C41" s="7" t="s">
        <v>22</v>
      </c>
      <c r="D41" s="7" t="s">
        <v>273</v>
      </c>
      <c r="F41" s="37"/>
      <c r="G41" s="37"/>
      <c r="H41" s="37"/>
      <c r="I41" s="37"/>
      <c r="J41" s="37"/>
      <c r="K41" s="37"/>
      <c r="T41" s="2" t="s">
        <v>81</v>
      </c>
      <c r="U41" s="8"/>
    </row>
    <row r="42" spans="1:21" x14ac:dyDescent="0.25">
      <c r="A42" s="6">
        <v>46248</v>
      </c>
      <c r="B42" s="7" t="s">
        <v>866</v>
      </c>
      <c r="C42" s="7" t="s">
        <v>31</v>
      </c>
      <c r="D42" s="7" t="s">
        <v>895</v>
      </c>
      <c r="F42" s="37"/>
      <c r="G42" s="37"/>
      <c r="H42" s="37"/>
      <c r="I42" s="37"/>
      <c r="J42" s="37"/>
      <c r="K42" s="37"/>
      <c r="T42" s="2" t="s">
        <v>82</v>
      </c>
      <c r="U42" s="8">
        <f>U43+U44</f>
        <v>0.19570000000000001</v>
      </c>
    </row>
    <row r="43" spans="1:21" x14ac:dyDescent="0.25">
      <c r="A43" s="6">
        <v>46251</v>
      </c>
      <c r="B43" s="7" t="s">
        <v>8</v>
      </c>
      <c r="C43" s="7" t="s">
        <v>22</v>
      </c>
      <c r="D43" s="7" t="s">
        <v>906</v>
      </c>
      <c r="F43" s="2" t="s">
        <v>0</v>
      </c>
      <c r="G43" s="4">
        <v>46209</v>
      </c>
      <c r="H43" s="2" t="s">
        <v>2</v>
      </c>
      <c r="I43" s="1" t="s">
        <v>350</v>
      </c>
      <c r="J43" s="2" t="s">
        <v>11</v>
      </c>
      <c r="K43" s="1" t="s">
        <v>370</v>
      </c>
      <c r="T43" s="2" t="s">
        <v>83</v>
      </c>
      <c r="U43" s="8">
        <v>0.19570000000000001</v>
      </c>
    </row>
    <row r="44" spans="1:21" x14ac:dyDescent="0.25">
      <c r="A44" s="6">
        <v>46256</v>
      </c>
      <c r="B44" s="7" t="s">
        <v>958</v>
      </c>
      <c r="C44" s="7" t="s">
        <v>385</v>
      </c>
      <c r="D44" s="7" t="s">
        <v>56</v>
      </c>
      <c r="F44" s="37" t="s">
        <v>432</v>
      </c>
      <c r="G44" s="37"/>
      <c r="H44" s="37"/>
      <c r="I44" s="37"/>
      <c r="J44" s="37"/>
      <c r="K44" s="37"/>
      <c r="T44" s="2" t="s">
        <v>84</v>
      </c>
      <c r="U44" s="10">
        <v>0</v>
      </c>
    </row>
    <row r="45" spans="1:21" x14ac:dyDescent="0.25">
      <c r="A45" s="6">
        <v>46256</v>
      </c>
      <c r="B45" s="7" t="s">
        <v>390</v>
      </c>
      <c r="C45" s="7" t="s">
        <v>63</v>
      </c>
      <c r="D45" s="7" t="s">
        <v>973</v>
      </c>
      <c r="F45" s="37"/>
      <c r="G45" s="37"/>
      <c r="H45" s="37"/>
      <c r="I45" s="37"/>
      <c r="J45" s="37"/>
      <c r="K45" s="37"/>
      <c r="T45" s="2" t="s">
        <v>115</v>
      </c>
      <c r="U45" s="8"/>
    </row>
    <row r="46" spans="1:21" x14ac:dyDescent="0.25">
      <c r="A46" s="6">
        <v>46259</v>
      </c>
      <c r="B46" s="7" t="s">
        <v>987</v>
      </c>
      <c r="C46" s="7" t="s">
        <v>31</v>
      </c>
      <c r="D46" s="7" t="s">
        <v>988</v>
      </c>
      <c r="F46" s="37"/>
      <c r="G46" s="37"/>
      <c r="H46" s="37"/>
      <c r="I46" s="37"/>
      <c r="J46" s="37"/>
      <c r="K46" s="37"/>
      <c r="T46" s="2" t="s">
        <v>11</v>
      </c>
      <c r="U46" s="8" t="s">
        <v>268</v>
      </c>
    </row>
    <row r="47" spans="1:21" x14ac:dyDescent="0.25">
      <c r="A47" s="6">
        <v>46261</v>
      </c>
      <c r="B47" s="7" t="s">
        <v>1020</v>
      </c>
      <c r="C47" s="7" t="s">
        <v>63</v>
      </c>
      <c r="D47" s="7" t="s">
        <v>358</v>
      </c>
      <c r="F47" s="2" t="s">
        <v>0</v>
      </c>
      <c r="G47" s="4">
        <v>46210</v>
      </c>
      <c r="H47" s="2" t="s">
        <v>2</v>
      </c>
      <c r="I47" s="1" t="s">
        <v>35</v>
      </c>
      <c r="J47" s="2" t="s">
        <v>11</v>
      </c>
      <c r="K47" s="1" t="s">
        <v>14</v>
      </c>
      <c r="T47" s="2" t="s">
        <v>76</v>
      </c>
      <c r="U47" s="8" t="s">
        <v>269</v>
      </c>
    </row>
    <row r="48" spans="1:21" x14ac:dyDescent="0.25">
      <c r="A48" s="6">
        <v>46266</v>
      </c>
      <c r="B48" s="7" t="s">
        <v>1031</v>
      </c>
      <c r="C48" s="7" t="s">
        <v>1033</v>
      </c>
      <c r="D48" s="7" t="s">
        <v>1045</v>
      </c>
      <c r="F48" s="37" t="s">
        <v>452</v>
      </c>
      <c r="G48" s="37"/>
      <c r="H48" s="37"/>
      <c r="I48" s="37"/>
      <c r="J48" s="37"/>
      <c r="K48" s="37"/>
      <c r="T48" s="2" t="s">
        <v>77</v>
      </c>
      <c r="U48" s="8"/>
    </row>
    <row r="49" spans="1:21" x14ac:dyDescent="0.25">
      <c r="A49" s="6">
        <v>46266</v>
      </c>
      <c r="B49" s="7" t="s">
        <v>1043</v>
      </c>
      <c r="C49" s="7" t="s">
        <v>47</v>
      </c>
      <c r="D49" s="7" t="s">
        <v>1055</v>
      </c>
      <c r="F49" s="37"/>
      <c r="G49" s="37"/>
      <c r="H49" s="37"/>
      <c r="I49" s="37"/>
      <c r="J49" s="37"/>
      <c r="K49" s="37"/>
      <c r="T49" s="2" t="s">
        <v>78</v>
      </c>
      <c r="U49" s="8" t="s">
        <v>101</v>
      </c>
    </row>
    <row r="50" spans="1:21" x14ac:dyDescent="0.25">
      <c r="A50" s="6">
        <v>46267</v>
      </c>
      <c r="B50" s="7" t="s">
        <v>1060</v>
      </c>
      <c r="C50" s="7" t="s">
        <v>31</v>
      </c>
      <c r="D50" s="7" t="s">
        <v>1061</v>
      </c>
      <c r="F50" s="37"/>
      <c r="G50" s="37"/>
      <c r="H50" s="37"/>
      <c r="I50" s="37"/>
      <c r="J50" s="37"/>
      <c r="K50" s="37"/>
      <c r="T50" s="2" t="s">
        <v>92</v>
      </c>
      <c r="U50" s="8" t="s">
        <v>261</v>
      </c>
    </row>
    <row r="51" spans="1:21" x14ac:dyDescent="0.25">
      <c r="A51" s="6">
        <v>46273</v>
      </c>
      <c r="B51" s="7" t="s">
        <v>1102</v>
      </c>
      <c r="C51" s="7" t="s">
        <v>16</v>
      </c>
      <c r="D51" s="7" t="s">
        <v>1092</v>
      </c>
      <c r="F51" s="2" t="s">
        <v>0</v>
      </c>
      <c r="G51" s="4">
        <v>46210</v>
      </c>
      <c r="H51" s="2" t="s">
        <v>2</v>
      </c>
      <c r="I51" s="1" t="s">
        <v>35</v>
      </c>
      <c r="J51" s="2" t="s">
        <v>11</v>
      </c>
      <c r="K51" s="1" t="s">
        <v>358</v>
      </c>
      <c r="T51" s="2" t="s">
        <v>80</v>
      </c>
      <c r="U51" s="7" t="s">
        <v>263</v>
      </c>
    </row>
    <row r="52" spans="1:21" x14ac:dyDescent="0.25">
      <c r="A52" s="6">
        <v>46275</v>
      </c>
      <c r="B52" s="7" t="s">
        <v>1125</v>
      </c>
      <c r="C52" s="7" t="s">
        <v>47</v>
      </c>
      <c r="D52" s="7" t="s">
        <v>1126</v>
      </c>
      <c r="F52" s="32" t="s">
        <v>453</v>
      </c>
      <c r="G52" s="32"/>
      <c r="H52" s="32"/>
      <c r="I52" s="32"/>
      <c r="J52" s="32"/>
      <c r="K52" s="32"/>
      <c r="T52" s="2" t="s">
        <v>81</v>
      </c>
      <c r="U52" s="8"/>
    </row>
    <row r="53" spans="1:21" x14ac:dyDescent="0.25">
      <c r="A53" s="6">
        <v>46276</v>
      </c>
      <c r="B53" s="7" t="s">
        <v>1031</v>
      </c>
      <c r="C53" s="7" t="s">
        <v>15</v>
      </c>
      <c r="D53" s="7" t="s">
        <v>1138</v>
      </c>
      <c r="F53" s="32"/>
      <c r="G53" s="32"/>
      <c r="H53" s="32"/>
      <c r="I53" s="32"/>
      <c r="J53" s="32"/>
      <c r="K53" s="32"/>
      <c r="T53" s="2" t="s">
        <v>82</v>
      </c>
      <c r="U53" s="8">
        <f>U54+U55</f>
        <v>0.21230000000000002</v>
      </c>
    </row>
    <row r="54" spans="1:21" x14ac:dyDescent="0.25">
      <c r="A54" s="6">
        <v>46279</v>
      </c>
      <c r="B54" s="7" t="s">
        <v>1160</v>
      </c>
      <c r="C54" s="7" t="s">
        <v>774</v>
      </c>
      <c r="D54" s="7" t="s">
        <v>1161</v>
      </c>
      <c r="F54" s="32"/>
      <c r="G54" s="32"/>
      <c r="H54" s="32"/>
      <c r="I54" s="32"/>
      <c r="J54" s="32"/>
      <c r="K54" s="32"/>
      <c r="T54" s="2" t="s">
        <v>83</v>
      </c>
      <c r="U54" s="8">
        <v>0.19670000000000001</v>
      </c>
    </row>
    <row r="55" spans="1:21" x14ac:dyDescent="0.25">
      <c r="A55" s="6">
        <v>46282</v>
      </c>
      <c r="B55" s="7" t="s">
        <v>1192</v>
      </c>
      <c r="C55" s="7" t="s">
        <v>344</v>
      </c>
      <c r="D55" s="7" t="s">
        <v>1029</v>
      </c>
      <c r="F55" s="2" t="s">
        <v>0</v>
      </c>
      <c r="G55" s="4">
        <v>46212</v>
      </c>
      <c r="H55" s="2" t="s">
        <v>2</v>
      </c>
      <c r="I55" s="1" t="s">
        <v>47</v>
      </c>
      <c r="J55" s="2" t="s">
        <v>11</v>
      </c>
      <c r="K55" s="1" t="s">
        <v>14</v>
      </c>
      <c r="T55" s="2" t="s">
        <v>84</v>
      </c>
      <c r="U55" s="10">
        <v>1.5599999999999999E-2</v>
      </c>
    </row>
    <row r="56" spans="1:21" ht="14.45" customHeight="1" x14ac:dyDescent="0.25">
      <c r="A56" s="6">
        <v>46283</v>
      </c>
      <c r="B56" s="7" t="s">
        <v>1031</v>
      </c>
      <c r="C56" s="7" t="s">
        <v>22</v>
      </c>
      <c r="D56" s="7" t="s">
        <v>1138</v>
      </c>
      <c r="F56" s="37" t="s">
        <v>472</v>
      </c>
      <c r="G56" s="37"/>
      <c r="H56" s="37"/>
      <c r="I56" s="37"/>
      <c r="J56" s="37"/>
      <c r="K56" s="37"/>
      <c r="T56" s="2" t="s">
        <v>115</v>
      </c>
      <c r="U56" s="8"/>
    </row>
    <row r="57" spans="1:21" x14ac:dyDescent="0.25">
      <c r="A57" s="6">
        <v>46284</v>
      </c>
      <c r="B57" s="7" t="s">
        <v>1219</v>
      </c>
      <c r="C57" s="7" t="s">
        <v>385</v>
      </c>
      <c r="D57" s="7" t="s">
        <v>56</v>
      </c>
      <c r="F57" s="37"/>
      <c r="G57" s="37"/>
      <c r="H57" s="37"/>
      <c r="I57" s="37"/>
      <c r="J57" s="37"/>
      <c r="K57" s="37"/>
      <c r="T57" s="2" t="s">
        <v>11</v>
      </c>
      <c r="U57" s="8" t="s">
        <v>95</v>
      </c>
    </row>
    <row r="58" spans="1:21" x14ac:dyDescent="0.25">
      <c r="A58" s="6">
        <v>46284</v>
      </c>
      <c r="B58" s="7" t="s">
        <v>1220</v>
      </c>
      <c r="C58" s="7" t="s">
        <v>385</v>
      </c>
      <c r="D58" s="7" t="s">
        <v>1221</v>
      </c>
      <c r="F58" s="37"/>
      <c r="G58" s="37"/>
      <c r="H58" s="37"/>
      <c r="I58" s="37"/>
      <c r="J58" s="37"/>
      <c r="K58" s="37"/>
      <c r="T58" s="2" t="s">
        <v>76</v>
      </c>
      <c r="U58" s="8" t="s">
        <v>270</v>
      </c>
    </row>
    <row r="59" spans="1:21" x14ac:dyDescent="0.25">
      <c r="A59" s="6">
        <v>46287</v>
      </c>
      <c r="B59" s="7" t="s">
        <v>1232</v>
      </c>
      <c r="C59" s="7" t="s">
        <v>588</v>
      </c>
      <c r="D59" s="7" t="s">
        <v>1233</v>
      </c>
      <c r="F59" s="37"/>
      <c r="G59" s="37"/>
      <c r="H59" s="37"/>
      <c r="I59" s="37"/>
      <c r="J59" s="37"/>
      <c r="K59" s="37"/>
      <c r="T59" s="2" t="s">
        <v>77</v>
      </c>
      <c r="U59" s="8"/>
    </row>
    <row r="60" spans="1:21" x14ac:dyDescent="0.25">
      <c r="A60" s="6">
        <v>46287</v>
      </c>
      <c r="B60" s="7" t="s">
        <v>1102</v>
      </c>
      <c r="C60" s="7" t="s">
        <v>22</v>
      </c>
      <c r="D60" s="7" t="s">
        <v>1235</v>
      </c>
      <c r="F60" s="37"/>
      <c r="G60" s="37"/>
      <c r="H60" s="37"/>
      <c r="I60" s="37"/>
      <c r="J60" s="37"/>
      <c r="K60" s="37"/>
      <c r="T60" s="2" t="s">
        <v>78</v>
      </c>
      <c r="U60" s="8" t="s">
        <v>101</v>
      </c>
    </row>
    <row r="61" spans="1:21" x14ac:dyDescent="0.25">
      <c r="F61" s="37"/>
      <c r="G61" s="37"/>
      <c r="H61" s="37"/>
      <c r="I61" s="37"/>
      <c r="J61" s="37"/>
      <c r="K61" s="37"/>
      <c r="T61" s="2" t="s">
        <v>92</v>
      </c>
      <c r="U61" s="8" t="s">
        <v>261</v>
      </c>
    </row>
    <row r="62" spans="1:21" x14ac:dyDescent="0.25">
      <c r="F62" s="2" t="s">
        <v>0</v>
      </c>
      <c r="G62" s="4">
        <v>46213</v>
      </c>
      <c r="H62" s="2" t="s">
        <v>2</v>
      </c>
      <c r="I62" s="1" t="s">
        <v>47</v>
      </c>
      <c r="J62" s="2" t="s">
        <v>11</v>
      </c>
      <c r="K62" s="1" t="s">
        <v>261</v>
      </c>
      <c r="T62" s="2" t="s">
        <v>80</v>
      </c>
      <c r="U62" s="7" t="s">
        <v>263</v>
      </c>
    </row>
    <row r="63" spans="1:21" x14ac:dyDescent="0.25">
      <c r="F63" s="32" t="s">
        <v>495</v>
      </c>
      <c r="G63" s="32"/>
      <c r="H63" s="32"/>
      <c r="I63" s="32"/>
      <c r="J63" s="32"/>
      <c r="K63" s="32"/>
      <c r="T63" s="2" t="s">
        <v>81</v>
      </c>
      <c r="U63" s="8"/>
    </row>
    <row r="64" spans="1:21" x14ac:dyDescent="0.25">
      <c r="F64" s="32"/>
      <c r="G64" s="32"/>
      <c r="H64" s="32"/>
      <c r="I64" s="32"/>
      <c r="J64" s="32"/>
      <c r="K64" s="32"/>
      <c r="T64" s="2" t="s">
        <v>82</v>
      </c>
      <c r="U64" s="10">
        <f>U65+U66</f>
        <v>0.59599999999999997</v>
      </c>
    </row>
    <row r="65" spans="6:21" x14ac:dyDescent="0.25">
      <c r="F65" s="2" t="s">
        <v>0</v>
      </c>
      <c r="G65" s="4">
        <v>46214</v>
      </c>
      <c r="H65" s="2" t="s">
        <v>2</v>
      </c>
      <c r="I65" s="1" t="s">
        <v>47</v>
      </c>
      <c r="J65" s="2" t="s">
        <v>11</v>
      </c>
      <c r="K65" s="1" t="s">
        <v>261</v>
      </c>
      <c r="T65" s="2" t="s">
        <v>83</v>
      </c>
      <c r="U65" s="8">
        <v>0.57889999999999997</v>
      </c>
    </row>
    <row r="66" spans="6:21" x14ac:dyDescent="0.25">
      <c r="F66" s="32" t="s">
        <v>501</v>
      </c>
      <c r="G66" s="32"/>
      <c r="H66" s="32"/>
      <c r="I66" s="32"/>
      <c r="J66" s="32"/>
      <c r="K66" s="32"/>
      <c r="T66" s="2" t="s">
        <v>84</v>
      </c>
      <c r="U66" s="10">
        <f>0.0123+0.0028+0.002</f>
        <v>1.7100000000000001E-2</v>
      </c>
    </row>
    <row r="67" spans="6:21" x14ac:dyDescent="0.25">
      <c r="F67" s="32"/>
      <c r="G67" s="32"/>
      <c r="H67" s="32"/>
      <c r="I67" s="32"/>
      <c r="J67" s="32"/>
      <c r="K67" s="32"/>
      <c r="T67" s="2" t="s">
        <v>115</v>
      </c>
      <c r="U67" s="8"/>
    </row>
    <row r="68" spans="6:21" x14ac:dyDescent="0.25">
      <c r="F68" s="2" t="s">
        <v>0</v>
      </c>
      <c r="G68" s="4">
        <v>46217</v>
      </c>
      <c r="H68" s="2" t="s">
        <v>2</v>
      </c>
      <c r="I68" s="1" t="s">
        <v>47</v>
      </c>
      <c r="J68" s="2" t="s">
        <v>11</v>
      </c>
      <c r="K68" s="1" t="s">
        <v>261</v>
      </c>
      <c r="T68" s="2" t="s">
        <v>11</v>
      </c>
      <c r="U68" s="8" t="s">
        <v>272</v>
      </c>
    </row>
    <row r="69" spans="6:21" x14ac:dyDescent="0.25">
      <c r="F69" s="32" t="s">
        <v>516</v>
      </c>
      <c r="G69" s="32"/>
      <c r="H69" s="32"/>
      <c r="I69" s="32"/>
      <c r="J69" s="32"/>
      <c r="K69" s="32"/>
      <c r="T69" s="2" t="s">
        <v>76</v>
      </c>
      <c r="U69" s="8" t="s">
        <v>271</v>
      </c>
    </row>
    <row r="70" spans="6:21" x14ac:dyDescent="0.25">
      <c r="F70" s="32"/>
      <c r="G70" s="32"/>
      <c r="H70" s="32"/>
      <c r="I70" s="32"/>
      <c r="J70" s="32"/>
      <c r="K70" s="32"/>
      <c r="T70" s="2" t="s">
        <v>77</v>
      </c>
      <c r="U70" s="8"/>
    </row>
    <row r="71" spans="6:21" x14ac:dyDescent="0.25">
      <c r="F71" s="2" t="s">
        <v>0</v>
      </c>
      <c r="G71" s="4">
        <v>46218</v>
      </c>
      <c r="H71" s="2" t="s">
        <v>2</v>
      </c>
      <c r="I71" s="1" t="s">
        <v>525</v>
      </c>
      <c r="J71" s="2" t="s">
        <v>11</v>
      </c>
      <c r="K71" s="1" t="s">
        <v>261</v>
      </c>
      <c r="T71" s="2" t="s">
        <v>78</v>
      </c>
      <c r="U71" s="8" t="s">
        <v>101</v>
      </c>
    </row>
    <row r="72" spans="6:21" ht="14.45" customHeight="1" x14ac:dyDescent="0.25">
      <c r="F72" s="32" t="s">
        <v>526</v>
      </c>
      <c r="G72" s="32"/>
      <c r="H72" s="32"/>
      <c r="I72" s="32"/>
      <c r="J72" s="32"/>
      <c r="K72" s="32"/>
      <c r="T72" s="2" t="s">
        <v>92</v>
      </c>
      <c r="U72" s="8" t="s">
        <v>261</v>
      </c>
    </row>
    <row r="73" spans="6:21" x14ac:dyDescent="0.25">
      <c r="F73" s="32"/>
      <c r="G73" s="32"/>
      <c r="H73" s="32"/>
      <c r="I73" s="32"/>
      <c r="J73" s="32"/>
      <c r="K73" s="32"/>
      <c r="T73" s="2" t="s">
        <v>80</v>
      </c>
      <c r="U73" s="7" t="s">
        <v>263</v>
      </c>
    </row>
    <row r="74" spans="6:21" x14ac:dyDescent="0.25">
      <c r="F74" s="32"/>
      <c r="G74" s="32"/>
      <c r="H74" s="32"/>
      <c r="I74" s="32"/>
      <c r="J74" s="32"/>
      <c r="K74" s="32"/>
      <c r="T74" s="2" t="s">
        <v>81</v>
      </c>
      <c r="U74" s="8"/>
    </row>
    <row r="75" spans="6:21" x14ac:dyDescent="0.25">
      <c r="F75" s="32"/>
      <c r="G75" s="32"/>
      <c r="H75" s="32"/>
      <c r="I75" s="32"/>
      <c r="J75" s="32"/>
      <c r="K75" s="32"/>
      <c r="T75" s="2" t="s">
        <v>82</v>
      </c>
      <c r="U75" s="10">
        <f>U76+U77</f>
        <v>0.34429999999999999</v>
      </c>
    </row>
    <row r="76" spans="6:21" x14ac:dyDescent="0.25">
      <c r="F76" s="2" t="s">
        <v>0</v>
      </c>
      <c r="G76" s="4">
        <v>46219</v>
      </c>
      <c r="H76" s="2" t="s">
        <v>2</v>
      </c>
      <c r="I76" s="1" t="s">
        <v>556</v>
      </c>
      <c r="J76" s="2" t="s">
        <v>11</v>
      </c>
      <c r="K76" s="1" t="s">
        <v>370</v>
      </c>
      <c r="T76" s="2" t="s">
        <v>83</v>
      </c>
      <c r="U76" s="8">
        <v>0.34429999999999999</v>
      </c>
    </row>
    <row r="77" spans="6:21" ht="14.45" customHeight="1" x14ac:dyDescent="0.25">
      <c r="F77" s="32" t="s">
        <v>557</v>
      </c>
      <c r="G77" s="32"/>
      <c r="H77" s="32"/>
      <c r="I77" s="32"/>
      <c r="J77" s="32"/>
      <c r="K77" s="32"/>
      <c r="T77" s="2" t="s">
        <v>84</v>
      </c>
      <c r="U77" s="10">
        <v>0</v>
      </c>
    </row>
    <row r="78" spans="6:21" x14ac:dyDescent="0.25">
      <c r="F78" s="32"/>
      <c r="G78" s="32"/>
      <c r="H78" s="32"/>
      <c r="I78" s="32"/>
      <c r="J78" s="32"/>
      <c r="K78" s="32"/>
      <c r="T78" s="2" t="s">
        <v>115</v>
      </c>
      <c r="U78" s="8"/>
    </row>
    <row r="79" spans="6:21" x14ac:dyDescent="0.25">
      <c r="F79" s="32"/>
      <c r="G79" s="32"/>
      <c r="H79" s="32"/>
      <c r="I79" s="32"/>
      <c r="J79" s="32"/>
      <c r="K79" s="32"/>
      <c r="T79" s="2" t="s">
        <v>11</v>
      </c>
      <c r="U79" s="8" t="s">
        <v>273</v>
      </c>
    </row>
    <row r="80" spans="6:21" x14ac:dyDescent="0.25">
      <c r="F80" s="2" t="s">
        <v>0</v>
      </c>
      <c r="G80" s="4">
        <v>46220</v>
      </c>
      <c r="H80" s="2" t="s">
        <v>2</v>
      </c>
      <c r="I80" s="1" t="s">
        <v>47</v>
      </c>
      <c r="J80" s="2" t="s">
        <v>11</v>
      </c>
      <c r="K80" s="1" t="s">
        <v>14</v>
      </c>
      <c r="T80" s="2" t="s">
        <v>76</v>
      </c>
      <c r="U80" s="8" t="s">
        <v>274</v>
      </c>
    </row>
    <row r="81" spans="5:21" x14ac:dyDescent="0.25">
      <c r="F81" s="32" t="s">
        <v>558</v>
      </c>
      <c r="G81" s="32"/>
      <c r="H81" s="32"/>
      <c r="I81" s="32"/>
      <c r="J81" s="32"/>
      <c r="K81" s="32"/>
      <c r="T81" s="2" t="s">
        <v>77</v>
      </c>
      <c r="U81" s="8"/>
    </row>
    <row r="82" spans="5:21" x14ac:dyDescent="0.25">
      <c r="F82" s="32"/>
      <c r="G82" s="32"/>
      <c r="H82" s="32"/>
      <c r="I82" s="32"/>
      <c r="J82" s="32"/>
      <c r="K82" s="32"/>
      <c r="T82" s="2" t="s">
        <v>78</v>
      </c>
      <c r="U82" s="8" t="s">
        <v>101</v>
      </c>
    </row>
    <row r="83" spans="5:21" x14ac:dyDescent="0.25">
      <c r="F83" s="32"/>
      <c r="G83" s="32"/>
      <c r="H83" s="32"/>
      <c r="I83" s="32"/>
      <c r="J83" s="32"/>
      <c r="K83" s="32"/>
      <c r="T83" s="2" t="s">
        <v>92</v>
      </c>
      <c r="U83" s="8" t="s">
        <v>275</v>
      </c>
    </row>
    <row r="84" spans="5:21" x14ac:dyDescent="0.25">
      <c r="F84" s="2" t="s">
        <v>0</v>
      </c>
      <c r="G84" s="4">
        <v>46223</v>
      </c>
      <c r="H84" s="2" t="s">
        <v>2</v>
      </c>
      <c r="I84" s="1" t="s">
        <v>47</v>
      </c>
      <c r="J84" s="2" t="s">
        <v>11</v>
      </c>
      <c r="K84" s="1" t="s">
        <v>14</v>
      </c>
      <c r="T84" s="2" t="s">
        <v>80</v>
      </c>
      <c r="U84" s="8" t="s">
        <v>276</v>
      </c>
    </row>
    <row r="85" spans="5:21" ht="14.45" customHeight="1" x14ac:dyDescent="0.25">
      <c r="F85" s="32" t="s">
        <v>568</v>
      </c>
      <c r="G85" s="32"/>
      <c r="H85" s="32"/>
      <c r="I85" s="32"/>
      <c r="J85" s="32"/>
      <c r="K85" s="32"/>
      <c r="T85" s="2" t="s">
        <v>81</v>
      </c>
      <c r="U85" s="8"/>
    </row>
    <row r="86" spans="5:21" x14ac:dyDescent="0.25">
      <c r="F86" s="32"/>
      <c r="G86" s="32"/>
      <c r="H86" s="32"/>
      <c r="I86" s="32"/>
      <c r="J86" s="32"/>
      <c r="K86" s="32"/>
      <c r="T86" s="2" t="s">
        <v>82</v>
      </c>
      <c r="U86" s="10">
        <f>U87+U88</f>
        <v>0.437</v>
      </c>
    </row>
    <row r="87" spans="5:21" x14ac:dyDescent="0.25">
      <c r="F87" s="32"/>
      <c r="G87" s="32"/>
      <c r="H87" s="32"/>
      <c r="I87" s="32"/>
      <c r="J87" s="32"/>
      <c r="K87" s="32"/>
      <c r="T87" s="2" t="s">
        <v>83</v>
      </c>
      <c r="U87" s="10">
        <v>0.437</v>
      </c>
    </row>
    <row r="88" spans="5:21" x14ac:dyDescent="0.25">
      <c r="F88" s="32"/>
      <c r="G88" s="32"/>
      <c r="H88" s="32"/>
      <c r="I88" s="32"/>
      <c r="J88" s="32"/>
      <c r="K88" s="32"/>
      <c r="T88" s="2" t="s">
        <v>84</v>
      </c>
      <c r="U88" s="10">
        <v>0</v>
      </c>
    </row>
    <row r="89" spans="5:21" x14ac:dyDescent="0.25">
      <c r="F89" s="32"/>
      <c r="G89" s="32"/>
      <c r="H89" s="32"/>
      <c r="I89" s="32"/>
      <c r="J89" s="32"/>
      <c r="K89" s="32"/>
      <c r="T89" s="2" t="s">
        <v>115</v>
      </c>
      <c r="U89" s="8"/>
    </row>
    <row r="90" spans="5:21" x14ac:dyDescent="0.25">
      <c r="F90" s="2" t="s">
        <v>0</v>
      </c>
      <c r="G90" s="4">
        <v>46224</v>
      </c>
      <c r="H90" s="2" t="s">
        <v>2</v>
      </c>
      <c r="I90" s="1" t="s">
        <v>350</v>
      </c>
      <c r="J90" s="2" t="s">
        <v>11</v>
      </c>
      <c r="K90" s="1" t="s">
        <v>14</v>
      </c>
      <c r="T90" s="2" t="s">
        <v>11</v>
      </c>
      <c r="U90" s="8" t="s">
        <v>36</v>
      </c>
    </row>
    <row r="91" spans="5:21" ht="14.45" customHeight="1" x14ac:dyDescent="0.25">
      <c r="F91" s="32" t="s">
        <v>587</v>
      </c>
      <c r="G91" s="32"/>
      <c r="H91" s="32"/>
      <c r="I91" s="32"/>
      <c r="J91" s="32"/>
      <c r="K91" s="32"/>
      <c r="T91" s="2" t="s">
        <v>76</v>
      </c>
      <c r="U91" s="8" t="s">
        <v>278</v>
      </c>
    </row>
    <row r="92" spans="5:21" x14ac:dyDescent="0.25">
      <c r="F92" s="32"/>
      <c r="G92" s="32"/>
      <c r="H92" s="32"/>
      <c r="I92" s="32"/>
      <c r="J92" s="32"/>
      <c r="K92" s="32"/>
      <c r="T92" s="2" t="s">
        <v>77</v>
      </c>
      <c r="U92" s="8"/>
    </row>
    <row r="93" spans="5:21" x14ac:dyDescent="0.25">
      <c r="F93" s="32"/>
      <c r="G93" s="32"/>
      <c r="H93" s="32"/>
      <c r="I93" s="32"/>
      <c r="J93" s="32"/>
      <c r="K93" s="32"/>
      <c r="T93" s="2" t="s">
        <v>78</v>
      </c>
      <c r="U93" s="8" t="s">
        <v>101</v>
      </c>
    </row>
    <row r="94" spans="5:21" x14ac:dyDescent="0.25">
      <c r="F94" s="32"/>
      <c r="G94" s="32"/>
      <c r="H94" s="32"/>
      <c r="I94" s="32"/>
      <c r="J94" s="32"/>
      <c r="K94" s="32"/>
      <c r="T94" s="2" t="s">
        <v>92</v>
      </c>
      <c r="U94" s="8" t="s">
        <v>277</v>
      </c>
    </row>
    <row r="95" spans="5:21" x14ac:dyDescent="0.25">
      <c r="F95" s="2" t="s">
        <v>0</v>
      </c>
      <c r="G95" s="4">
        <v>46225</v>
      </c>
      <c r="H95" s="2" t="s">
        <v>2</v>
      </c>
      <c r="I95" s="1" t="s">
        <v>606</v>
      </c>
      <c r="J95" s="2" t="s">
        <v>11</v>
      </c>
      <c r="K95" s="1" t="s">
        <v>261</v>
      </c>
      <c r="T95" s="2" t="s">
        <v>80</v>
      </c>
      <c r="U95" s="8" t="s">
        <v>276</v>
      </c>
    </row>
    <row r="96" spans="5:21" x14ac:dyDescent="0.25">
      <c r="E96" t="s">
        <v>607</v>
      </c>
      <c r="F96" s="32" t="s">
        <v>608</v>
      </c>
      <c r="G96" s="32"/>
      <c r="H96" s="32"/>
      <c r="I96" s="32"/>
      <c r="J96" s="32"/>
      <c r="K96" s="32"/>
      <c r="T96" s="2" t="s">
        <v>81</v>
      </c>
      <c r="U96" s="8"/>
    </row>
    <row r="97" spans="6:21" x14ac:dyDescent="0.25">
      <c r="F97" s="32"/>
      <c r="G97" s="32"/>
      <c r="H97" s="32"/>
      <c r="I97" s="32"/>
      <c r="J97" s="32"/>
      <c r="K97" s="32"/>
      <c r="T97" s="2" t="s">
        <v>82</v>
      </c>
      <c r="U97" s="10">
        <f>U98+U99</f>
        <v>0.27279999999999999</v>
      </c>
    </row>
    <row r="98" spans="6:21" x14ac:dyDescent="0.25">
      <c r="F98" s="2" t="s">
        <v>0</v>
      </c>
      <c r="G98" s="4">
        <v>46226</v>
      </c>
      <c r="H98" s="2" t="s">
        <v>2</v>
      </c>
      <c r="I98" s="1" t="s">
        <v>624</v>
      </c>
      <c r="J98" s="2" t="s">
        <v>11</v>
      </c>
      <c r="K98" s="1" t="s">
        <v>623</v>
      </c>
      <c r="T98" s="2" t="s">
        <v>83</v>
      </c>
      <c r="U98" s="8">
        <v>0.27279999999999999</v>
      </c>
    </row>
    <row r="99" spans="6:21" x14ac:dyDescent="0.25">
      <c r="F99" s="32" t="s">
        <v>625</v>
      </c>
      <c r="G99" s="32"/>
      <c r="H99" s="32"/>
      <c r="I99" s="32"/>
      <c r="J99" s="32"/>
      <c r="K99" s="32"/>
      <c r="T99" s="2" t="s">
        <v>84</v>
      </c>
      <c r="U99" s="10">
        <v>0</v>
      </c>
    </row>
    <row r="100" spans="6:21" x14ac:dyDescent="0.25">
      <c r="F100" s="32"/>
      <c r="G100" s="32"/>
      <c r="H100" s="32"/>
      <c r="I100" s="32"/>
      <c r="J100" s="32"/>
      <c r="K100" s="32"/>
      <c r="T100" s="2" t="s">
        <v>115</v>
      </c>
      <c r="U100" s="8"/>
    </row>
    <row r="101" spans="6:21" x14ac:dyDescent="0.25">
      <c r="F101" s="2" t="s">
        <v>0</v>
      </c>
      <c r="G101" s="4">
        <v>46227</v>
      </c>
      <c r="H101" s="2" t="s">
        <v>2</v>
      </c>
      <c r="I101" s="1" t="s">
        <v>15</v>
      </c>
      <c r="J101" s="2" t="s">
        <v>11</v>
      </c>
      <c r="K101" s="1" t="s">
        <v>261</v>
      </c>
      <c r="T101" s="2" t="s">
        <v>11</v>
      </c>
      <c r="U101" s="8" t="s">
        <v>793</v>
      </c>
    </row>
    <row r="102" spans="6:21" x14ac:dyDescent="0.25">
      <c r="F102" s="32" t="s">
        <v>637</v>
      </c>
      <c r="G102" s="32"/>
      <c r="H102" s="32"/>
      <c r="I102" s="32"/>
      <c r="J102" s="32"/>
      <c r="K102" s="32"/>
      <c r="T102" s="2" t="s">
        <v>76</v>
      </c>
      <c r="U102" s="8" t="s">
        <v>794</v>
      </c>
    </row>
    <row r="103" spans="6:21" x14ac:dyDescent="0.25">
      <c r="F103" s="32"/>
      <c r="G103" s="32"/>
      <c r="H103" s="32"/>
      <c r="I103" s="32"/>
      <c r="J103" s="32"/>
      <c r="K103" s="32"/>
      <c r="T103" s="2" t="s">
        <v>77</v>
      </c>
      <c r="U103" s="8"/>
    </row>
    <row r="104" spans="6:21" x14ac:dyDescent="0.25">
      <c r="F104" s="2" t="s">
        <v>0</v>
      </c>
      <c r="G104" s="4">
        <v>46231</v>
      </c>
      <c r="H104" s="2" t="s">
        <v>2</v>
      </c>
      <c r="I104" s="1" t="s">
        <v>47</v>
      </c>
      <c r="J104" s="2" t="s">
        <v>11</v>
      </c>
      <c r="K104" s="1" t="s">
        <v>261</v>
      </c>
      <c r="T104" s="2" t="s">
        <v>78</v>
      </c>
      <c r="U104" s="8"/>
    </row>
    <row r="105" spans="6:21" x14ac:dyDescent="0.25">
      <c r="F105" s="32" t="s">
        <v>676</v>
      </c>
      <c r="G105" s="32"/>
      <c r="H105" s="32"/>
      <c r="I105" s="32"/>
      <c r="J105" s="32"/>
      <c r="K105" s="32"/>
      <c r="T105" s="2" t="s">
        <v>92</v>
      </c>
      <c r="U105" s="8"/>
    </row>
    <row r="106" spans="6:21" x14ac:dyDescent="0.25">
      <c r="F106" s="32"/>
      <c r="G106" s="32"/>
      <c r="H106" s="32"/>
      <c r="I106" s="32"/>
      <c r="J106" s="32"/>
      <c r="K106" s="32"/>
      <c r="T106" s="2" t="s">
        <v>80</v>
      </c>
      <c r="U106" s="8"/>
    </row>
    <row r="107" spans="6:21" x14ac:dyDescent="0.25">
      <c r="F107" s="2" t="s">
        <v>0</v>
      </c>
      <c r="G107" s="4">
        <v>46234</v>
      </c>
      <c r="H107" s="2" t="s">
        <v>2</v>
      </c>
      <c r="I107" s="1" t="s">
        <v>22</v>
      </c>
      <c r="J107" s="2" t="s">
        <v>11</v>
      </c>
      <c r="K107" s="1" t="s">
        <v>14</v>
      </c>
      <c r="T107" s="2" t="s">
        <v>81</v>
      </c>
      <c r="U107" s="8"/>
    </row>
    <row r="108" spans="6:21" ht="14.45" customHeight="1" x14ac:dyDescent="0.25">
      <c r="F108" s="32" t="s">
        <v>719</v>
      </c>
      <c r="G108" s="32"/>
      <c r="H108" s="32"/>
      <c r="I108" s="32"/>
      <c r="J108" s="32"/>
      <c r="K108" s="32"/>
      <c r="T108" s="2" t="s">
        <v>82</v>
      </c>
      <c r="U108" s="10">
        <f>U109+U110</f>
        <v>0.65439999999999998</v>
      </c>
    </row>
    <row r="109" spans="6:21" x14ac:dyDescent="0.25">
      <c r="F109" s="32"/>
      <c r="G109" s="32"/>
      <c r="H109" s="32"/>
      <c r="I109" s="32"/>
      <c r="J109" s="32"/>
      <c r="K109" s="32"/>
      <c r="T109" s="2" t="s">
        <v>83</v>
      </c>
      <c r="U109" s="8">
        <v>0.65439999999999998</v>
      </c>
    </row>
    <row r="110" spans="6:21" x14ac:dyDescent="0.25">
      <c r="F110" s="32"/>
      <c r="G110" s="32"/>
      <c r="H110" s="32"/>
      <c r="I110" s="32"/>
      <c r="J110" s="32"/>
      <c r="K110" s="32"/>
      <c r="T110" s="2" t="s">
        <v>84</v>
      </c>
      <c r="U110" s="10">
        <v>0</v>
      </c>
    </row>
    <row r="111" spans="6:21" x14ac:dyDescent="0.25">
      <c r="F111" s="32"/>
      <c r="G111" s="32"/>
      <c r="H111" s="32"/>
      <c r="I111" s="32"/>
      <c r="J111" s="32"/>
      <c r="K111" s="32"/>
      <c r="T111" s="2" t="s">
        <v>115</v>
      </c>
      <c r="U111" s="8"/>
    </row>
    <row r="112" spans="6:21" x14ac:dyDescent="0.25">
      <c r="F112" s="2" t="s">
        <v>0</v>
      </c>
      <c r="G112" s="4">
        <v>46237</v>
      </c>
      <c r="H112" s="2" t="s">
        <v>2</v>
      </c>
      <c r="I112" s="1" t="s">
        <v>22</v>
      </c>
      <c r="J112" s="2" t="s">
        <v>11</v>
      </c>
      <c r="K112" s="1" t="s">
        <v>370</v>
      </c>
      <c r="T112" s="2" t="s">
        <v>11</v>
      </c>
      <c r="U112" s="8" t="s">
        <v>795</v>
      </c>
    </row>
    <row r="113" spans="6:21" ht="14.45" customHeight="1" x14ac:dyDescent="0.25">
      <c r="F113" s="32" t="s">
        <v>738</v>
      </c>
      <c r="G113" s="32"/>
      <c r="H113" s="32"/>
      <c r="I113" s="32"/>
      <c r="J113" s="32"/>
      <c r="K113" s="32"/>
      <c r="T113" s="2" t="s">
        <v>76</v>
      </c>
      <c r="U113" s="8" t="s">
        <v>796</v>
      </c>
    </row>
    <row r="114" spans="6:21" x14ac:dyDescent="0.25">
      <c r="F114" s="32"/>
      <c r="G114" s="32"/>
      <c r="H114" s="32"/>
      <c r="I114" s="32"/>
      <c r="J114" s="32"/>
      <c r="K114" s="32"/>
      <c r="T114" s="2" t="s">
        <v>77</v>
      </c>
      <c r="U114" s="8"/>
    </row>
    <row r="115" spans="6:21" x14ac:dyDescent="0.25">
      <c r="F115" s="32"/>
      <c r="G115" s="32"/>
      <c r="H115" s="32"/>
      <c r="I115" s="32"/>
      <c r="J115" s="32"/>
      <c r="K115" s="32"/>
      <c r="T115" s="2" t="s">
        <v>78</v>
      </c>
      <c r="U115" s="8"/>
    </row>
    <row r="116" spans="6:21" x14ac:dyDescent="0.25">
      <c r="F116" s="32"/>
      <c r="G116" s="32"/>
      <c r="H116" s="32"/>
      <c r="I116" s="32"/>
      <c r="J116" s="32"/>
      <c r="K116" s="32"/>
      <c r="T116" s="2" t="s">
        <v>92</v>
      </c>
      <c r="U116" s="8"/>
    </row>
    <row r="117" spans="6:21" x14ac:dyDescent="0.25">
      <c r="F117" s="32"/>
      <c r="G117" s="32"/>
      <c r="H117" s="32"/>
      <c r="I117" s="32"/>
      <c r="J117" s="32"/>
      <c r="K117" s="32"/>
      <c r="T117" s="2" t="s">
        <v>80</v>
      </c>
      <c r="U117" s="8"/>
    </row>
    <row r="118" spans="6:21" x14ac:dyDescent="0.25">
      <c r="F118" s="32"/>
      <c r="G118" s="32"/>
      <c r="H118" s="32"/>
      <c r="I118" s="32"/>
      <c r="J118" s="32"/>
      <c r="K118" s="32"/>
      <c r="T118" s="2" t="s">
        <v>81</v>
      </c>
      <c r="U118" s="8"/>
    </row>
    <row r="119" spans="6:21" x14ac:dyDescent="0.25">
      <c r="F119" s="32"/>
      <c r="G119" s="32"/>
      <c r="H119" s="32"/>
      <c r="I119" s="32"/>
      <c r="J119" s="32"/>
      <c r="K119" s="32"/>
      <c r="T119" s="2" t="s">
        <v>82</v>
      </c>
      <c r="U119" s="10">
        <f>U120+U121</f>
        <v>0.3286</v>
      </c>
    </row>
    <row r="120" spans="6:21" x14ac:dyDescent="0.25">
      <c r="F120" s="2" t="s">
        <v>0</v>
      </c>
      <c r="G120" s="4">
        <v>46238</v>
      </c>
      <c r="H120" s="2" t="s">
        <v>2</v>
      </c>
      <c r="I120" s="1" t="s">
        <v>47</v>
      </c>
      <c r="J120" s="2" t="s">
        <v>11</v>
      </c>
      <c r="K120" s="1" t="s">
        <v>14</v>
      </c>
      <c r="T120" s="2" t="s">
        <v>83</v>
      </c>
      <c r="U120" s="8">
        <v>0.3286</v>
      </c>
    </row>
    <row r="121" spans="6:21" ht="14.45" customHeight="1" x14ac:dyDescent="0.25">
      <c r="F121" s="32" t="s">
        <v>762</v>
      </c>
      <c r="G121" s="32"/>
      <c r="H121" s="32"/>
      <c r="I121" s="32"/>
      <c r="J121" s="32"/>
      <c r="K121" s="32"/>
      <c r="T121" s="2" t="s">
        <v>84</v>
      </c>
      <c r="U121" s="10">
        <v>0</v>
      </c>
    </row>
    <row r="122" spans="6:21" x14ac:dyDescent="0.25">
      <c r="F122" s="32"/>
      <c r="G122" s="32"/>
      <c r="H122" s="32"/>
      <c r="I122" s="32"/>
      <c r="J122" s="32"/>
      <c r="K122" s="32"/>
      <c r="T122" s="2" t="s">
        <v>115</v>
      </c>
      <c r="U122" s="8"/>
    </row>
    <row r="123" spans="6:21" x14ac:dyDescent="0.25">
      <c r="F123" s="32"/>
      <c r="G123" s="32"/>
      <c r="H123" s="32"/>
      <c r="I123" s="32"/>
      <c r="J123" s="32"/>
      <c r="K123" s="32"/>
      <c r="T123" s="2" t="s">
        <v>11</v>
      </c>
      <c r="U123" s="8" t="s">
        <v>797</v>
      </c>
    </row>
    <row r="124" spans="6:21" x14ac:dyDescent="0.25">
      <c r="F124" s="32"/>
      <c r="G124" s="32"/>
      <c r="H124" s="32"/>
      <c r="I124" s="32"/>
      <c r="J124" s="32"/>
      <c r="K124" s="32"/>
      <c r="T124" s="2" t="s">
        <v>76</v>
      </c>
      <c r="U124" s="8" t="s">
        <v>798</v>
      </c>
    </row>
    <row r="125" spans="6:21" x14ac:dyDescent="0.25">
      <c r="F125" s="32"/>
      <c r="G125" s="32"/>
      <c r="H125" s="32"/>
      <c r="I125" s="32"/>
      <c r="J125" s="32"/>
      <c r="K125" s="32"/>
      <c r="T125" s="2" t="s">
        <v>77</v>
      </c>
      <c r="U125" s="8"/>
    </row>
    <row r="126" spans="6:21" x14ac:dyDescent="0.25">
      <c r="F126" s="2" t="s">
        <v>0</v>
      </c>
      <c r="G126" s="4">
        <v>46241</v>
      </c>
      <c r="H126" s="2" t="s">
        <v>2</v>
      </c>
      <c r="I126" s="1" t="s">
        <v>385</v>
      </c>
      <c r="J126" s="2" t="s">
        <v>11</v>
      </c>
      <c r="K126" s="1" t="s">
        <v>14</v>
      </c>
      <c r="T126" s="2" t="s">
        <v>78</v>
      </c>
      <c r="U126" s="8"/>
    </row>
    <row r="127" spans="6:21" x14ac:dyDescent="0.25">
      <c r="F127" s="32" t="s">
        <v>816</v>
      </c>
      <c r="G127" s="32"/>
      <c r="H127" s="32"/>
      <c r="I127" s="32"/>
      <c r="J127" s="32"/>
      <c r="K127" s="32"/>
      <c r="T127" s="2" t="s">
        <v>92</v>
      </c>
      <c r="U127" s="8"/>
    </row>
    <row r="128" spans="6:21" x14ac:dyDescent="0.25">
      <c r="F128" s="32"/>
      <c r="G128" s="32"/>
      <c r="H128" s="32"/>
      <c r="I128" s="32"/>
      <c r="J128" s="32"/>
      <c r="K128" s="32"/>
      <c r="T128" s="2" t="s">
        <v>80</v>
      </c>
      <c r="U128" s="8"/>
    </row>
    <row r="129" spans="6:21" x14ac:dyDescent="0.25">
      <c r="F129" s="32"/>
      <c r="G129" s="32"/>
      <c r="H129" s="32"/>
      <c r="I129" s="32"/>
      <c r="J129" s="32"/>
      <c r="K129" s="32"/>
      <c r="T129" s="2" t="s">
        <v>81</v>
      </c>
      <c r="U129" s="8"/>
    </row>
    <row r="130" spans="6:21" x14ac:dyDescent="0.25">
      <c r="F130" s="32"/>
      <c r="G130" s="32"/>
      <c r="H130" s="32"/>
      <c r="I130" s="32"/>
      <c r="J130" s="32"/>
      <c r="K130" s="32"/>
      <c r="T130" s="2" t="s">
        <v>82</v>
      </c>
      <c r="U130" s="10">
        <f>U131+U132</f>
        <v>0.55789999999999995</v>
      </c>
    </row>
    <row r="131" spans="6:21" x14ac:dyDescent="0.25">
      <c r="F131" s="32"/>
      <c r="G131" s="32"/>
      <c r="H131" s="32"/>
      <c r="I131" s="32"/>
      <c r="J131" s="32"/>
      <c r="K131" s="32"/>
      <c r="T131" s="2" t="s">
        <v>83</v>
      </c>
      <c r="U131" s="8">
        <v>0.55789999999999995</v>
      </c>
    </row>
    <row r="132" spans="6:21" x14ac:dyDescent="0.25">
      <c r="F132" s="2" t="s">
        <v>0</v>
      </c>
      <c r="G132" s="4">
        <v>46244</v>
      </c>
      <c r="H132" s="2" t="s">
        <v>2</v>
      </c>
      <c r="I132" s="1" t="s">
        <v>733</v>
      </c>
      <c r="J132" s="2" t="s">
        <v>11</v>
      </c>
      <c r="K132" s="1" t="s">
        <v>14</v>
      </c>
      <c r="T132" s="2" t="s">
        <v>84</v>
      </c>
      <c r="U132" s="10">
        <v>0</v>
      </c>
    </row>
    <row r="133" spans="6:21" ht="14.45" customHeight="1" x14ac:dyDescent="0.25">
      <c r="F133" s="32" t="s">
        <v>852</v>
      </c>
      <c r="G133" s="32"/>
      <c r="H133" s="32"/>
      <c r="I133" s="32"/>
      <c r="J133" s="32"/>
      <c r="K133" s="32"/>
      <c r="T133" s="2" t="s">
        <v>115</v>
      </c>
      <c r="U133" s="8"/>
    </row>
    <row r="134" spans="6:21" x14ac:dyDescent="0.25">
      <c r="F134" s="32"/>
      <c r="G134" s="32"/>
      <c r="H134" s="32"/>
      <c r="I134" s="32"/>
      <c r="J134" s="32"/>
      <c r="K134" s="32"/>
      <c r="T134" s="2" t="s">
        <v>85</v>
      </c>
      <c r="U134" s="10">
        <f>U131+U120+U109+U98+U87+U76+U65+U54+U43+U32+U21+U10</f>
        <v>4.6600999999999999</v>
      </c>
    </row>
    <row r="135" spans="6:21" x14ac:dyDescent="0.25">
      <c r="F135" s="32"/>
      <c r="G135" s="32"/>
      <c r="H135" s="32"/>
      <c r="I135" s="32"/>
      <c r="J135" s="32"/>
      <c r="K135" s="32"/>
      <c r="T135" s="2" t="s">
        <v>86</v>
      </c>
      <c r="U135" s="10">
        <f>U134*12.032</f>
        <v>56.070323199999997</v>
      </c>
    </row>
    <row r="136" spans="6:21" x14ac:dyDescent="0.25">
      <c r="F136" s="32"/>
      <c r="G136" s="32"/>
      <c r="H136" s="32"/>
      <c r="I136" s="32"/>
      <c r="J136" s="32"/>
      <c r="K136" s="32"/>
    </row>
    <row r="137" spans="6:21" x14ac:dyDescent="0.25">
      <c r="F137" s="32"/>
      <c r="G137" s="32"/>
      <c r="H137" s="32"/>
      <c r="I137" s="32"/>
      <c r="J137" s="32"/>
      <c r="K137" s="32"/>
    </row>
    <row r="138" spans="6:21" x14ac:dyDescent="0.25">
      <c r="F138" s="32"/>
      <c r="G138" s="32"/>
      <c r="H138" s="32"/>
      <c r="I138" s="32"/>
      <c r="J138" s="32"/>
      <c r="K138" s="32"/>
    </row>
    <row r="139" spans="6:21" x14ac:dyDescent="0.25">
      <c r="F139" s="32"/>
      <c r="G139" s="32"/>
      <c r="H139" s="32"/>
      <c r="I139" s="32"/>
      <c r="J139" s="32"/>
      <c r="K139" s="32"/>
    </row>
    <row r="140" spans="6:21" x14ac:dyDescent="0.25">
      <c r="F140" s="2" t="s">
        <v>0</v>
      </c>
      <c r="G140" s="4">
        <v>46245</v>
      </c>
      <c r="H140" s="2" t="s">
        <v>2</v>
      </c>
      <c r="I140" s="1" t="s">
        <v>385</v>
      </c>
      <c r="J140" s="2" t="s">
        <v>11</v>
      </c>
      <c r="K140" s="1" t="s">
        <v>14</v>
      </c>
    </row>
    <row r="141" spans="6:21" x14ac:dyDescent="0.25">
      <c r="F141" s="32" t="s">
        <v>637</v>
      </c>
      <c r="G141" s="32"/>
      <c r="H141" s="32"/>
      <c r="I141" s="32"/>
      <c r="J141" s="32"/>
      <c r="K141" s="32"/>
    </row>
    <row r="142" spans="6:21" x14ac:dyDescent="0.25">
      <c r="F142" s="32"/>
      <c r="G142" s="32"/>
      <c r="H142" s="32"/>
      <c r="I142" s="32"/>
      <c r="J142" s="32"/>
      <c r="K142" s="32"/>
    </row>
    <row r="143" spans="6:21" x14ac:dyDescent="0.25">
      <c r="F143" s="2" t="s">
        <v>0</v>
      </c>
      <c r="G143" s="4">
        <v>46246</v>
      </c>
      <c r="H143" s="2" t="s">
        <v>2</v>
      </c>
      <c r="I143" s="1" t="s">
        <v>22</v>
      </c>
      <c r="J143" s="2" t="s">
        <v>11</v>
      </c>
      <c r="K143" s="1" t="s">
        <v>14</v>
      </c>
    </row>
    <row r="144" spans="6:21" ht="14.45" customHeight="1" x14ac:dyDescent="0.25">
      <c r="F144" s="32" t="s">
        <v>637</v>
      </c>
      <c r="G144" s="32"/>
      <c r="H144" s="32"/>
      <c r="I144" s="32"/>
      <c r="J144" s="32"/>
      <c r="K144" s="32"/>
    </row>
    <row r="145" spans="6:11" x14ac:dyDescent="0.25">
      <c r="F145" s="32"/>
      <c r="G145" s="32"/>
      <c r="H145" s="32"/>
      <c r="I145" s="32"/>
      <c r="J145" s="32"/>
      <c r="K145" s="32"/>
    </row>
    <row r="146" spans="6:11" x14ac:dyDescent="0.25">
      <c r="F146" s="2" t="s">
        <v>0</v>
      </c>
      <c r="G146" s="4">
        <v>46250</v>
      </c>
      <c r="H146" s="2" t="s">
        <v>2</v>
      </c>
      <c r="I146" s="1" t="s">
        <v>47</v>
      </c>
      <c r="J146" s="2" t="s">
        <v>11</v>
      </c>
      <c r="K146" s="1" t="s">
        <v>14</v>
      </c>
    </row>
    <row r="147" spans="6:11" ht="14.45" customHeight="1" x14ac:dyDescent="0.25">
      <c r="F147" s="32" t="s">
        <v>898</v>
      </c>
      <c r="G147" s="32"/>
      <c r="H147" s="32"/>
      <c r="I147" s="32"/>
      <c r="J147" s="32"/>
      <c r="K147" s="32"/>
    </row>
    <row r="148" spans="6:11" x14ac:dyDescent="0.25">
      <c r="F148" s="32"/>
      <c r="G148" s="32"/>
      <c r="H148" s="32"/>
      <c r="I148" s="32"/>
      <c r="J148" s="32"/>
      <c r="K148" s="32"/>
    </row>
    <row r="149" spans="6:11" x14ac:dyDescent="0.25">
      <c r="F149" s="32"/>
      <c r="G149" s="32"/>
      <c r="H149" s="32"/>
      <c r="I149" s="32"/>
      <c r="J149" s="32"/>
      <c r="K149" s="32"/>
    </row>
    <row r="150" spans="6:11" x14ac:dyDescent="0.25">
      <c r="F150" s="2" t="s">
        <v>0</v>
      </c>
      <c r="G150" s="4">
        <v>46251</v>
      </c>
      <c r="H150" s="2" t="s">
        <v>2</v>
      </c>
      <c r="I150" s="1" t="s">
        <v>22</v>
      </c>
      <c r="J150" s="2" t="s">
        <v>11</v>
      </c>
      <c r="K150" s="1" t="s">
        <v>14</v>
      </c>
    </row>
    <row r="151" spans="6:11" ht="14.45" customHeight="1" x14ac:dyDescent="0.25">
      <c r="F151" s="32" t="s">
        <v>907</v>
      </c>
      <c r="G151" s="32"/>
      <c r="H151" s="32"/>
      <c r="I151" s="32"/>
      <c r="J151" s="32"/>
      <c r="K151" s="32"/>
    </row>
    <row r="152" spans="6:11" x14ac:dyDescent="0.25">
      <c r="F152" s="32"/>
      <c r="G152" s="32"/>
      <c r="H152" s="32"/>
      <c r="I152" s="32"/>
      <c r="J152" s="32"/>
      <c r="K152" s="32"/>
    </row>
    <row r="153" spans="6:11" x14ac:dyDescent="0.25">
      <c r="F153" s="32"/>
      <c r="G153" s="32"/>
      <c r="H153" s="32"/>
      <c r="I153" s="32"/>
      <c r="J153" s="32"/>
      <c r="K153" s="32"/>
    </row>
    <row r="154" spans="6:11" x14ac:dyDescent="0.25">
      <c r="F154" s="32"/>
      <c r="G154" s="32"/>
      <c r="H154" s="32"/>
      <c r="I154" s="32"/>
      <c r="J154" s="32"/>
      <c r="K154" s="32"/>
    </row>
    <row r="155" spans="6:11" x14ac:dyDescent="0.25">
      <c r="F155" s="32"/>
      <c r="G155" s="32"/>
      <c r="H155" s="32"/>
      <c r="I155" s="32"/>
      <c r="J155" s="32"/>
      <c r="K155" s="32"/>
    </row>
    <row r="156" spans="6:11" x14ac:dyDescent="0.25">
      <c r="F156" s="2" t="s">
        <v>0</v>
      </c>
      <c r="G156" s="4">
        <v>46252</v>
      </c>
      <c r="H156" s="2" t="s">
        <v>2</v>
      </c>
      <c r="I156" s="1" t="s">
        <v>16</v>
      </c>
      <c r="J156" s="2" t="s">
        <v>11</v>
      </c>
      <c r="K156" s="1" t="s">
        <v>358</v>
      </c>
    </row>
    <row r="157" spans="6:11" ht="14.45" customHeight="1" x14ac:dyDescent="0.25">
      <c r="F157" s="32" t="s">
        <v>917</v>
      </c>
      <c r="G157" s="32"/>
      <c r="H157" s="32"/>
      <c r="I157" s="32"/>
      <c r="J157" s="32"/>
      <c r="K157" s="32"/>
    </row>
    <row r="158" spans="6:11" x14ac:dyDescent="0.25">
      <c r="F158" s="32"/>
      <c r="G158" s="32"/>
      <c r="H158" s="32"/>
      <c r="I158" s="32"/>
      <c r="J158" s="32"/>
      <c r="K158" s="32"/>
    </row>
    <row r="159" spans="6:11" x14ac:dyDescent="0.25">
      <c r="F159" s="32"/>
      <c r="G159" s="32"/>
      <c r="H159" s="32"/>
      <c r="I159" s="32"/>
      <c r="J159" s="32"/>
      <c r="K159" s="32"/>
    </row>
    <row r="160" spans="6:11" x14ac:dyDescent="0.25">
      <c r="F160" s="32"/>
      <c r="G160" s="32"/>
      <c r="H160" s="32"/>
      <c r="I160" s="32"/>
      <c r="J160" s="32"/>
      <c r="K160" s="32"/>
    </row>
    <row r="161" spans="6:11" x14ac:dyDescent="0.25">
      <c r="F161" s="2" t="s">
        <v>0</v>
      </c>
      <c r="G161" s="4">
        <v>46256</v>
      </c>
      <c r="H161" s="2" t="s">
        <v>2</v>
      </c>
      <c r="I161" s="1" t="s">
        <v>385</v>
      </c>
      <c r="J161" s="2" t="s">
        <v>11</v>
      </c>
      <c r="K161" s="1" t="s">
        <v>959</v>
      </c>
    </row>
    <row r="162" spans="6:11" x14ac:dyDescent="0.25">
      <c r="F162" s="32" t="s">
        <v>960</v>
      </c>
      <c r="G162" s="32"/>
      <c r="H162" s="32"/>
      <c r="I162" s="32"/>
      <c r="J162" s="32"/>
      <c r="K162" s="32"/>
    </row>
    <row r="163" spans="6:11" x14ac:dyDescent="0.25">
      <c r="F163" s="32"/>
      <c r="G163" s="32"/>
      <c r="H163" s="32"/>
      <c r="I163" s="32"/>
      <c r="J163" s="32"/>
      <c r="K163" s="32"/>
    </row>
    <row r="164" spans="6:11" x14ac:dyDescent="0.25">
      <c r="F164" s="32"/>
      <c r="G164" s="32"/>
      <c r="H164" s="32"/>
      <c r="I164" s="32"/>
      <c r="J164" s="32"/>
      <c r="K164" s="32"/>
    </row>
    <row r="165" spans="6:11" x14ac:dyDescent="0.25">
      <c r="F165" s="32"/>
      <c r="G165" s="32"/>
      <c r="H165" s="32"/>
      <c r="I165" s="32"/>
      <c r="J165" s="32"/>
      <c r="K165" s="32"/>
    </row>
    <row r="166" spans="6:11" x14ac:dyDescent="0.25">
      <c r="F166" s="2" t="s">
        <v>0</v>
      </c>
      <c r="G166" s="4">
        <v>46265</v>
      </c>
      <c r="H166" s="2" t="s">
        <v>2</v>
      </c>
      <c r="I166" s="1" t="s">
        <v>1025</v>
      </c>
      <c r="J166" s="2" t="s">
        <v>11</v>
      </c>
      <c r="K166" s="1" t="s">
        <v>959</v>
      </c>
    </row>
    <row r="167" spans="6:11" ht="14.45" customHeight="1" x14ac:dyDescent="0.25">
      <c r="F167" s="32" t="s">
        <v>1026</v>
      </c>
      <c r="G167" s="32"/>
      <c r="H167" s="32"/>
      <c r="I167" s="32"/>
      <c r="J167" s="32"/>
      <c r="K167" s="32"/>
    </row>
    <row r="168" spans="6:11" x14ac:dyDescent="0.25">
      <c r="F168" s="32"/>
      <c r="G168" s="32"/>
      <c r="H168" s="32"/>
      <c r="I168" s="32"/>
      <c r="J168" s="32"/>
      <c r="K168" s="32"/>
    </row>
    <row r="169" spans="6:11" x14ac:dyDescent="0.25">
      <c r="F169" s="32"/>
      <c r="G169" s="32"/>
      <c r="H169" s="32"/>
      <c r="I169" s="32"/>
      <c r="J169" s="32"/>
      <c r="K169" s="32"/>
    </row>
    <row r="170" spans="6:11" x14ac:dyDescent="0.25">
      <c r="F170" s="32"/>
      <c r="G170" s="32"/>
      <c r="H170" s="32"/>
      <c r="I170" s="32"/>
      <c r="J170" s="32"/>
      <c r="K170" s="32"/>
    </row>
    <row r="171" spans="6:11" x14ac:dyDescent="0.25">
      <c r="F171" s="32"/>
      <c r="G171" s="32"/>
      <c r="H171" s="32"/>
      <c r="I171" s="32"/>
      <c r="J171" s="32"/>
      <c r="K171" s="32"/>
    </row>
    <row r="172" spans="6:11" x14ac:dyDescent="0.25">
      <c r="F172" s="32"/>
      <c r="G172" s="32"/>
      <c r="H172" s="32"/>
      <c r="I172" s="32"/>
      <c r="J172" s="32"/>
      <c r="K172" s="32"/>
    </row>
    <row r="173" spans="6:11" x14ac:dyDescent="0.25">
      <c r="F173" s="32"/>
      <c r="G173" s="32"/>
      <c r="H173" s="32"/>
      <c r="I173" s="32"/>
      <c r="J173" s="32"/>
      <c r="K173" s="32"/>
    </row>
    <row r="174" spans="6:11" x14ac:dyDescent="0.25">
      <c r="F174" s="2" t="s">
        <v>0</v>
      </c>
      <c r="G174" s="4">
        <v>46266</v>
      </c>
      <c r="H174" s="2" t="s">
        <v>2</v>
      </c>
      <c r="I174" s="1" t="s">
        <v>22</v>
      </c>
      <c r="J174" s="2" t="s">
        <v>11</v>
      </c>
      <c r="K174" s="1" t="s">
        <v>14</v>
      </c>
    </row>
    <row r="175" spans="6:11" x14ac:dyDescent="0.25">
      <c r="F175" s="32" t="s">
        <v>1046</v>
      </c>
      <c r="G175" s="32"/>
      <c r="H175" s="32"/>
      <c r="I175" s="32"/>
      <c r="J175" s="32"/>
      <c r="K175" s="32"/>
    </row>
    <row r="176" spans="6:11" x14ac:dyDescent="0.25">
      <c r="F176" s="32"/>
      <c r="G176" s="32"/>
      <c r="H176" s="32"/>
      <c r="I176" s="32"/>
      <c r="J176" s="32"/>
      <c r="K176" s="32"/>
    </row>
    <row r="177" spans="6:11" x14ac:dyDescent="0.25">
      <c r="F177" s="2" t="s">
        <v>0</v>
      </c>
      <c r="G177" s="4">
        <v>46273</v>
      </c>
      <c r="H177" s="2" t="s">
        <v>2</v>
      </c>
      <c r="I177" s="1" t="s">
        <v>16</v>
      </c>
      <c r="J177" s="2" t="s">
        <v>11</v>
      </c>
      <c r="K177" s="1" t="s">
        <v>14</v>
      </c>
    </row>
    <row r="178" spans="6:11" x14ac:dyDescent="0.25">
      <c r="F178" s="32" t="s">
        <v>1106</v>
      </c>
      <c r="G178" s="32"/>
      <c r="H178" s="32"/>
      <c r="I178" s="32"/>
      <c r="J178" s="32"/>
      <c r="K178" s="32"/>
    </row>
    <row r="179" spans="6:11" x14ac:dyDescent="0.25">
      <c r="F179" s="32"/>
      <c r="G179" s="32"/>
      <c r="H179" s="32"/>
      <c r="I179" s="32"/>
      <c r="J179" s="32"/>
      <c r="K179" s="32"/>
    </row>
    <row r="180" spans="6:11" x14ac:dyDescent="0.25">
      <c r="F180" s="2" t="s">
        <v>0</v>
      </c>
      <c r="G180" s="4">
        <v>46275</v>
      </c>
      <c r="H180" s="2" t="s">
        <v>2</v>
      </c>
      <c r="I180" s="1" t="s">
        <v>47</v>
      </c>
      <c r="J180" s="2" t="s">
        <v>11</v>
      </c>
      <c r="K180" s="1" t="s">
        <v>261</v>
      </c>
    </row>
    <row r="181" spans="6:11" ht="14.45" customHeight="1" x14ac:dyDescent="0.25">
      <c r="F181" s="32" t="s">
        <v>1127</v>
      </c>
      <c r="G181" s="32"/>
      <c r="H181" s="32"/>
      <c r="I181" s="32"/>
      <c r="J181" s="32"/>
      <c r="K181" s="32"/>
    </row>
    <row r="182" spans="6:11" x14ac:dyDescent="0.25">
      <c r="F182" s="32"/>
      <c r="G182" s="32"/>
      <c r="H182" s="32"/>
      <c r="I182" s="32"/>
      <c r="J182" s="32"/>
      <c r="K182" s="32"/>
    </row>
    <row r="183" spans="6:11" x14ac:dyDescent="0.25">
      <c r="F183" s="32"/>
      <c r="G183" s="32"/>
      <c r="H183" s="32"/>
      <c r="I183" s="32"/>
      <c r="J183" s="32"/>
      <c r="K183" s="32"/>
    </row>
    <row r="184" spans="6:11" x14ac:dyDescent="0.25">
      <c r="F184" s="2" t="s">
        <v>0</v>
      </c>
      <c r="G184" s="4">
        <v>46276</v>
      </c>
      <c r="H184" s="2" t="s">
        <v>2</v>
      </c>
      <c r="I184" s="1" t="s">
        <v>606</v>
      </c>
      <c r="J184" s="2" t="s">
        <v>11</v>
      </c>
      <c r="K184" s="1" t="s">
        <v>370</v>
      </c>
    </row>
    <row r="185" spans="6:11" x14ac:dyDescent="0.25">
      <c r="F185" s="32" t="s">
        <v>1139</v>
      </c>
      <c r="G185" s="32"/>
      <c r="H185" s="32"/>
      <c r="I185" s="32"/>
      <c r="J185" s="32"/>
      <c r="K185" s="32"/>
    </row>
    <row r="186" spans="6:11" x14ac:dyDescent="0.25">
      <c r="F186" s="32"/>
      <c r="G186" s="32"/>
      <c r="H186" s="32"/>
      <c r="I186" s="32"/>
      <c r="J186" s="32"/>
      <c r="K186" s="32"/>
    </row>
    <row r="187" spans="6:11" x14ac:dyDescent="0.25">
      <c r="F187" s="32"/>
      <c r="G187" s="32"/>
      <c r="H187" s="32"/>
      <c r="I187" s="32"/>
      <c r="J187" s="32"/>
      <c r="K187" s="32"/>
    </row>
    <row r="188" spans="6:11" x14ac:dyDescent="0.25">
      <c r="F188" s="2" t="s">
        <v>0</v>
      </c>
      <c r="G188" s="4">
        <v>46279</v>
      </c>
      <c r="H188" s="2" t="s">
        <v>2</v>
      </c>
      <c r="I188" s="1" t="s">
        <v>1162</v>
      </c>
      <c r="J188" s="2" t="s">
        <v>11</v>
      </c>
      <c r="K188" s="1" t="s">
        <v>370</v>
      </c>
    </row>
    <row r="189" spans="6:11" ht="14.45" customHeight="1" x14ac:dyDescent="0.25">
      <c r="F189" s="32" t="s">
        <v>1165</v>
      </c>
      <c r="G189" s="32"/>
      <c r="H189" s="32"/>
      <c r="I189" s="32"/>
      <c r="J189" s="32"/>
      <c r="K189" s="32"/>
    </row>
    <row r="190" spans="6:11" x14ac:dyDescent="0.25">
      <c r="F190" s="32"/>
      <c r="G190" s="32"/>
      <c r="H190" s="32"/>
      <c r="I190" s="32"/>
      <c r="J190" s="32"/>
      <c r="K190" s="32"/>
    </row>
    <row r="191" spans="6:11" x14ac:dyDescent="0.25">
      <c r="F191" s="32"/>
      <c r="G191" s="32"/>
      <c r="H191" s="32"/>
      <c r="I191" s="32"/>
      <c r="J191" s="32"/>
      <c r="K191" s="32"/>
    </row>
    <row r="192" spans="6:11" x14ac:dyDescent="0.25">
      <c r="F192" s="32"/>
      <c r="G192" s="32"/>
      <c r="H192" s="32"/>
      <c r="I192" s="32"/>
      <c r="J192" s="32"/>
      <c r="K192" s="32"/>
    </row>
    <row r="193" spans="6:11" x14ac:dyDescent="0.25">
      <c r="F193" s="2" t="s">
        <v>0</v>
      </c>
      <c r="G193" s="4">
        <v>46283</v>
      </c>
      <c r="H193" s="2" t="s">
        <v>2</v>
      </c>
      <c r="I193" s="1" t="s">
        <v>22</v>
      </c>
      <c r="J193" s="2" t="s">
        <v>11</v>
      </c>
      <c r="K193" s="1" t="s">
        <v>370</v>
      </c>
    </row>
    <row r="194" spans="6:11" ht="14.45" customHeight="1" x14ac:dyDescent="0.25">
      <c r="F194" s="32" t="s">
        <v>1194</v>
      </c>
      <c r="G194" s="32"/>
      <c r="H194" s="32"/>
      <c r="I194" s="32"/>
      <c r="J194" s="32"/>
      <c r="K194" s="32"/>
    </row>
    <row r="195" spans="6:11" x14ac:dyDescent="0.25">
      <c r="F195" s="32"/>
      <c r="G195" s="32"/>
      <c r="H195" s="32"/>
      <c r="I195" s="32"/>
      <c r="J195" s="32"/>
      <c r="K195" s="32"/>
    </row>
    <row r="196" spans="6:11" x14ac:dyDescent="0.25">
      <c r="F196" s="32"/>
      <c r="G196" s="32"/>
      <c r="H196" s="32"/>
      <c r="I196" s="32"/>
      <c r="J196" s="32"/>
      <c r="K196" s="32"/>
    </row>
    <row r="197" spans="6:11" x14ac:dyDescent="0.25">
      <c r="F197" s="32"/>
      <c r="G197" s="32"/>
      <c r="H197" s="32"/>
      <c r="I197" s="32"/>
      <c r="J197" s="32"/>
      <c r="K197" s="32"/>
    </row>
    <row r="198" spans="6:11" x14ac:dyDescent="0.25">
      <c r="F198" s="32"/>
      <c r="G198" s="32"/>
      <c r="H198" s="32"/>
      <c r="I198" s="32"/>
      <c r="J198" s="32"/>
      <c r="K198" s="32"/>
    </row>
    <row r="199" spans="6:11" x14ac:dyDescent="0.25">
      <c r="F199" s="2" t="s">
        <v>0</v>
      </c>
      <c r="G199" s="4">
        <v>46284</v>
      </c>
      <c r="H199" s="2" t="s">
        <v>2</v>
      </c>
      <c r="I199" s="1" t="s">
        <v>385</v>
      </c>
      <c r="J199" s="2" t="s">
        <v>11</v>
      </c>
      <c r="K199" s="1" t="s">
        <v>14</v>
      </c>
    </row>
    <row r="200" spans="6:11" x14ac:dyDescent="0.25">
      <c r="F200" s="32" t="s">
        <v>1222</v>
      </c>
      <c r="G200" s="32"/>
      <c r="H200" s="32"/>
      <c r="I200" s="32"/>
      <c r="J200" s="32"/>
      <c r="K200" s="32"/>
    </row>
    <row r="201" spans="6:11" x14ac:dyDescent="0.25">
      <c r="F201" s="32"/>
      <c r="G201" s="32"/>
      <c r="H201" s="32"/>
      <c r="I201" s="32"/>
      <c r="J201" s="32"/>
      <c r="K201" s="32"/>
    </row>
    <row r="202" spans="6:11" x14ac:dyDescent="0.25">
      <c r="F202" s="2" t="s">
        <v>0</v>
      </c>
      <c r="G202" s="4">
        <v>46287</v>
      </c>
      <c r="H202" s="2" t="s">
        <v>2</v>
      </c>
      <c r="I202" s="1" t="s">
        <v>15</v>
      </c>
      <c r="J202" s="2" t="s">
        <v>11</v>
      </c>
      <c r="K202" s="1" t="s">
        <v>14</v>
      </c>
    </row>
    <row r="203" spans="6:11" ht="14.45" customHeight="1" x14ac:dyDescent="0.25">
      <c r="F203" s="32" t="s">
        <v>1239</v>
      </c>
      <c r="G203" s="32"/>
      <c r="H203" s="32"/>
      <c r="I203" s="32"/>
      <c r="J203" s="32"/>
      <c r="K203" s="32"/>
    </row>
    <row r="204" spans="6:11" x14ac:dyDescent="0.25">
      <c r="F204" s="32"/>
      <c r="G204" s="32"/>
      <c r="H204" s="32"/>
      <c r="I204" s="32"/>
      <c r="J204" s="32"/>
      <c r="K204" s="32"/>
    </row>
    <row r="205" spans="6:11" x14ac:dyDescent="0.25">
      <c r="F205" s="32"/>
      <c r="G205" s="32"/>
      <c r="H205" s="32"/>
      <c r="I205" s="32"/>
      <c r="J205" s="32"/>
      <c r="K205" s="32"/>
    </row>
    <row r="206" spans="6:11" x14ac:dyDescent="0.25">
      <c r="F206" s="32"/>
      <c r="G206" s="32"/>
      <c r="H206" s="32"/>
      <c r="I206" s="32"/>
      <c r="J206" s="32"/>
      <c r="K206" s="32"/>
    </row>
    <row r="207" spans="6:11" x14ac:dyDescent="0.25">
      <c r="F207" s="32"/>
      <c r="G207" s="32"/>
      <c r="H207" s="32"/>
      <c r="I207" s="32"/>
      <c r="J207" s="32"/>
      <c r="K207" s="32"/>
    </row>
    <row r="208" spans="6:11" x14ac:dyDescent="0.25">
      <c r="F208" s="32"/>
      <c r="G208" s="32"/>
      <c r="H208" s="32"/>
      <c r="I208" s="32"/>
      <c r="J208" s="32"/>
      <c r="K208" s="32"/>
    </row>
  </sheetData>
  <mergeCells count="49">
    <mergeCell ref="F203:K208"/>
    <mergeCell ref="F200:K201"/>
    <mergeCell ref="F189:K192"/>
    <mergeCell ref="F96:K97"/>
    <mergeCell ref="F162:K165"/>
    <mergeCell ref="F105:K106"/>
    <mergeCell ref="F185:K187"/>
    <mergeCell ref="F141:K142"/>
    <mergeCell ref="F181:K183"/>
    <mergeCell ref="F99:K100"/>
    <mergeCell ref="F102:K103"/>
    <mergeCell ref="F113:K119"/>
    <mergeCell ref="F175:K176"/>
    <mergeCell ref="F167:K173"/>
    <mergeCell ref="F151:K155"/>
    <mergeCell ref="F147:K149"/>
    <mergeCell ref="W1:X1"/>
    <mergeCell ref="F1:K1"/>
    <mergeCell ref="T1:U1"/>
    <mergeCell ref="F3:K4"/>
    <mergeCell ref="F9:K11"/>
    <mergeCell ref="F6:K7"/>
    <mergeCell ref="M1:R1"/>
    <mergeCell ref="F13:K14"/>
    <mergeCell ref="F21:K24"/>
    <mergeCell ref="F26:K27"/>
    <mergeCell ref="F157:K160"/>
    <mergeCell ref="F133:K139"/>
    <mergeCell ref="F127:K131"/>
    <mergeCell ref="F121:K125"/>
    <mergeCell ref="F108:K111"/>
    <mergeCell ref="F144:K145"/>
    <mergeCell ref="F91:K94"/>
    <mergeCell ref="F194:K198"/>
    <mergeCell ref="F16:K19"/>
    <mergeCell ref="F44:K46"/>
    <mergeCell ref="F29:K30"/>
    <mergeCell ref="F32:K42"/>
    <mergeCell ref="F69:K70"/>
    <mergeCell ref="F56:K61"/>
    <mergeCell ref="F48:K50"/>
    <mergeCell ref="F52:K54"/>
    <mergeCell ref="F85:K89"/>
    <mergeCell ref="F77:K79"/>
    <mergeCell ref="F72:K75"/>
    <mergeCell ref="F81:K83"/>
    <mergeCell ref="F63:K64"/>
    <mergeCell ref="F66:K67"/>
    <mergeCell ref="F178:K17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Oliveres</vt:lpstr>
      <vt:lpstr>Armetler</vt:lpstr>
      <vt:lpstr>Montanyeta</vt:lpstr>
      <vt:lpstr>Matella</vt:lpstr>
      <vt:lpstr>Kakis</vt:lpstr>
      <vt:lpstr>Alq. Burriana</vt:lpstr>
      <vt:lpstr>Hípica Balcó</vt:lpstr>
      <vt:lpstr>Vora riu</vt:lpstr>
      <vt:lpstr>Ort. Burriana</vt:lpstr>
      <vt:lpstr>Invernadero</vt:lpstr>
      <vt:lpstr>Ermita San Antoni</vt:lpstr>
      <vt:lpstr>New Hall</vt:lpstr>
      <vt:lpstr>Manderí</vt:lpstr>
      <vt:lpstr>Crisu</vt:lpstr>
      <vt:lpstr>Juncos</vt:lpstr>
      <vt:lpstr>Molineta</vt:lpstr>
      <vt:lpstr>Bata</vt:lpstr>
      <vt:lpstr>Malafa</vt:lpstr>
      <vt:lpstr>Xabrera</vt:lpstr>
      <vt:lpstr>Campoi</vt:lpstr>
      <vt:lpstr>Pepa</vt:lpstr>
      <vt:lpstr>Carbó</vt:lpstr>
      <vt:lpstr>Collantes</vt:lpstr>
      <vt:lpstr>Palmera</vt:lpstr>
      <vt:lpstr>Agut</vt:lpstr>
      <vt:lpstr>Ratlla</vt:lpstr>
      <vt:lpstr>Vila Roja</vt:lpstr>
      <vt:lpstr>Fadrell</vt:lpstr>
      <vt:lpstr>21</vt:lpstr>
      <vt:lpstr>Secà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Claramonte Manrique</dc:creator>
  <cp:lastModifiedBy>Jordi Garcia Ramon</cp:lastModifiedBy>
  <dcterms:created xsi:type="dcterms:W3CDTF">2026-06-12T05:00:54Z</dcterms:created>
  <dcterms:modified xsi:type="dcterms:W3CDTF">2026-09-25T09:20:55Z</dcterms:modified>
</cp:coreProperties>
</file>